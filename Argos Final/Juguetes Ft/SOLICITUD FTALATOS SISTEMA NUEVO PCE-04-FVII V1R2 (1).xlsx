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Z:\Documentos\Proyectos Fede\Argos_Bidcom\Argos Final\Juguetes Ft\"/>
    </mc:Choice>
  </mc:AlternateContent>
  <xr:revisionPtr revIDLastSave="0" documentId="13_ncr:1_{6826788D-5D73-4872-A518-7F161EB767BA}" xr6:coauthVersionLast="47" xr6:coauthVersionMax="47" xr10:uidLastSave="{00000000-0000-0000-0000-000000000000}"/>
  <bookViews>
    <workbookView xWindow="-108" yWindow="-108" windowWidth="23256" windowHeight="12576" activeTab="1" xr2:uid="{00000000-000D-0000-FFFF-FFFF00000000}"/>
  </bookViews>
  <sheets>
    <sheet name="Datos generales" sheetId="1" r:id="rId1"/>
    <sheet name="Ftalatos" sheetId="2" r:id="rId2"/>
    <sheet name="DATOS" sheetId="3" state="hidden" r:id="rId3"/>
  </sheets>
  <definedNames>
    <definedName name="Artículos_Escolares">DATOS!$P$2:$P$4</definedName>
    <definedName name="Ascensores">DATOS!$P$6:$P$8</definedName>
    <definedName name="Bicicletas_adultos">DATOS!$D$11</definedName>
    <definedName name="Bicicletas_infantiles">DATOS!$S$6:$S$8</definedName>
    <definedName name="Cámaras_y_cubiertas_bicicletas">DATOS!$G$10:$G$12</definedName>
    <definedName name="Eléctricos_Eficiencia">DATOS!$J$3</definedName>
    <definedName name="Eléctricos_Eiciencia">DATOS!$J$3</definedName>
    <definedName name="Eléctricos_Eiciencia_Energética">DATOS!$J$3</definedName>
    <definedName name="Eléctricos_Seguridad">DATOS!$G$2:$G$4</definedName>
    <definedName name="Eléctricos_Seguridad_Eléctrica">DATOS!$G$2:$G$4</definedName>
    <definedName name="Encendedores">DATOS!$G$6:$G$8</definedName>
    <definedName name="Ftalatos">DATOS!$J$6</definedName>
    <definedName name="Gas">DATOS!$M$6:$M$8</definedName>
    <definedName name="Gráficos">DATOS!$S$3:$S$4</definedName>
    <definedName name="Juguetes_Seguridad">DATOS!$M$2:$M$4</definedName>
    <definedName name="Miel">DATOS!$J$12</definedName>
    <definedName name="Pilas_y_baterías">DATOS!$D$6:$D$7</definedName>
    <definedName name="RoHS">DATOS!$V$2</definedName>
    <definedName name="Servicios">DATOS!$A$2:$A$16</definedName>
    <definedName name="Sistemas">DATOS!$D$2:$D$4</definedName>
    <definedName name="Tambores_miel_a_granel">DATOS!$J$12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MhI2jtDm28HIvKKZ0dz+F4F3e80TzN1fwWo/5IUSGy0="/>
    </ext>
  </extLst>
</workbook>
</file>

<file path=xl/calcChain.xml><?xml version="1.0" encoding="utf-8"?>
<calcChain xmlns="http://schemas.openxmlformats.org/spreadsheetml/2006/main">
  <c r="K26" i="3" l="1"/>
  <c r="B26" i="3"/>
  <c r="A26" i="3"/>
  <c r="I52" i="2" s="1"/>
  <c r="B25" i="3"/>
  <c r="B24" i="3"/>
  <c r="O23" i="3"/>
  <c r="B23" i="3"/>
  <c r="B22" i="3"/>
  <c r="H17" i="3"/>
  <c r="C9" i="2"/>
  <c r="C55" i="2" s="1"/>
  <c r="H5" i="2"/>
  <c r="C5" i="2"/>
  <c r="I1" i="2"/>
  <c r="A46" i="1"/>
  <c r="F20" i="1"/>
  <c r="F22" i="1" s="1"/>
  <c r="C22" i="1" s="1"/>
  <c r="B2" i="1"/>
  <c r="H16" i="3" l="1"/>
  <c r="B30" i="3" s="1"/>
  <c r="E22" i="1"/>
</calcChain>
</file>

<file path=xl/sharedStrings.xml><?xml version="1.0" encoding="utf-8"?>
<sst xmlns="http://schemas.openxmlformats.org/spreadsheetml/2006/main" count="262" uniqueCount="179">
  <si>
    <t>Solicitud de Certificación- Ftalatos</t>
  </si>
  <si>
    <t>PCE-04 FVIII V1 R2</t>
  </si>
  <si>
    <t xml:space="preserve">Página 1 de </t>
  </si>
  <si>
    <t>Solicitud nro:</t>
  </si>
  <si>
    <t>Fecha:</t>
  </si>
  <si>
    <t>Información del solicitante</t>
  </si>
  <si>
    <t xml:space="preserve">Domicilio legal: Bouchard 468, 5° I, CABA. CP 1004						</t>
  </si>
  <si>
    <t xml:space="preserve">email: emanuel@bidcom.com.ar                                                                                              </t>
  </si>
  <si>
    <t xml:space="preserve">Teléfono(s): 3960-0184                                                </t>
  </si>
  <si>
    <t xml:space="preserve">Nombre de contacto: BARNA, Emanuel Lucas                                                </t>
  </si>
  <si>
    <t>Click aquí si los datos de facturación son los mismos del solicitante:</t>
  </si>
  <si>
    <t>Información para la facturación</t>
  </si>
  <si>
    <t xml:space="preserve">Razón social: BIDCOM SRL </t>
  </si>
  <si>
    <t xml:space="preserve">CUIT: 3960-0184   </t>
  </si>
  <si>
    <t>Condición ante IVA:</t>
  </si>
  <si>
    <t>Tipo de Certificación</t>
  </si>
  <si>
    <t>Categoría producto</t>
  </si>
  <si>
    <t>Ftalatos</t>
  </si>
  <si>
    <t>Sistema de Certificación</t>
  </si>
  <si>
    <t>Resolución aplicable:</t>
  </si>
  <si>
    <t>Tipo (Sistema 1a)</t>
  </si>
  <si>
    <t>Norma(s) aplicable(s):</t>
  </si>
  <si>
    <t>A ser completado por Lenor OCP separadas por /</t>
  </si>
  <si>
    <t>Laboratorio designado por el cliente:</t>
  </si>
  <si>
    <t>Lenor S.R.L.</t>
  </si>
  <si>
    <t>Como solicitante, declaro: 
a) estar en conocimiento de las condiciones de certificación, derechos y obligaciones que esta solicitud conlleva en función del documento AC-01, 
b) tener acceso al documento informativo MMAR.</t>
  </si>
  <si>
    <t>Información para extracción de muestra(s)</t>
  </si>
  <si>
    <t>Domicilio:</t>
  </si>
  <si>
    <t>email:</t>
  </si>
  <si>
    <t>Teléfono(s):</t>
  </si>
  <si>
    <t>Contacto:</t>
  </si>
  <si>
    <t>Información sobre la fábrica</t>
  </si>
  <si>
    <t>Cantidad de artículos:</t>
  </si>
  <si>
    <t>Firmas</t>
  </si>
  <si>
    <t>Firma y aclaración del Cliente o Representante Legal</t>
  </si>
  <si>
    <t>Firma y aclaración (LENOR OCP)</t>
  </si>
  <si>
    <t>SOLICITUD DE CERTIFICACION FTALATOS</t>
  </si>
  <si>
    <t>Página  de</t>
  </si>
  <si>
    <t>F01 "DECLARACION DE ARTICULOS Y COMPOSICION DE PARTES A VERIFICAR"</t>
  </si>
  <si>
    <t>Juguetes-Puericultura Resolucion del Ministerio de Salud Nro.: 583/2008</t>
  </si>
  <si>
    <t>Por la presente, la empresa:</t>
  </si>
  <si>
    <t xml:space="preserve">BIDCOM SRL </t>
  </si>
  <si>
    <t>con domicilio legal:</t>
  </si>
  <si>
    <t>Bouchard 468, 5° I, CABA. CP 1004</t>
  </si>
  <si>
    <t>Teléfono:</t>
  </si>
  <si>
    <t>3960-0184</t>
  </si>
  <si>
    <t>BARNA, Emanuel Lucas</t>
  </si>
  <si>
    <t>mailto:emanuel@bidcom.com.ar</t>
  </si>
  <si>
    <t>Laboratorio de ensayos:</t>
  </si>
  <si>
    <t>solicita la verificación del cumplimiento de la Resolución 583/2008 y 2/2011 del Ministerio de Salud respecto del contenido de FTALATOS de los artículos cuya identificación declara a continuación:</t>
  </si>
  <si>
    <t>Datos para extracción de muestra:</t>
  </si>
  <si>
    <t>F01</t>
  </si>
  <si>
    <t>DBP: dibutilftalato CAS No 84-74-2</t>
  </si>
  <si>
    <t>Aclaraciones para completar el F01</t>
  </si>
  <si>
    <t>BBP: butilbencilftalato CAS No 85-68-7</t>
  </si>
  <si>
    <t>(1) Código con que el fabricante identifica su artículo</t>
  </si>
  <si>
    <t>DEHP: di(2-etilhexil)ftalato CAS No117-81-7</t>
  </si>
  <si>
    <t>(2) Código con el que se ingresará al país y se comercializará el artículo.</t>
  </si>
  <si>
    <t>DNOP:  dinoctilftalato CAS No 117-84-0</t>
  </si>
  <si>
    <t>(3) Denominación con que se identifica el artículo Ej.: "Little Cars".</t>
  </si>
  <si>
    <t>DINP: diisononilftalato CAS N028553-12-0 y 68515-48-0</t>
  </si>
  <si>
    <t>(4) Breve descripción del articulo. Ej: caja con 4 modelos de autos miniatura.</t>
  </si>
  <si>
    <t>DIDP:  diisodecilftalato CAS 26761-40-0 y 68515-49-1</t>
  </si>
  <si>
    <t>(5) Nombre del fabricante; dirección de la fabrica; país de origen.</t>
  </si>
  <si>
    <t>La presente solicitud será tomada como declaración jurada.</t>
  </si>
  <si>
    <t>(6) Descripción de la parte del artículo de material susceptible de ser plastificado con ftalatos. Ej: ruedas.</t>
  </si>
  <si>
    <t>(7) Un "SI" en esta columna es indicativo de que la parte cumple con el art. 1º de la Resolución.</t>
  </si>
  <si>
    <t>(8) Un "SI" en esta columna es indicativo de que la parte cumple con el Art. 2º de la Resolución.</t>
  </si>
  <si>
    <t>Es obligatorio completar el campo 7 para aquellas partes fabricadas con materiales susceptibles de ser plastificados con ftalatos, y el 8 para aquellas que además de la condición anterior pueden ser introducidas en la boca.</t>
  </si>
  <si>
    <r>
      <rPr>
        <b/>
        <i/>
        <sz val="12"/>
        <color theme="1"/>
        <rFont val="Arial"/>
        <family val="2"/>
      </rPr>
      <t xml:space="preserve">NOTA: </t>
    </r>
    <r>
      <rPr>
        <i/>
        <sz val="12"/>
        <color theme="1"/>
        <rFont val="Arial"/>
        <family val="2"/>
      </rPr>
      <t>Debe entregarse a Lenor S.R.L. la presente soilcitud también en formato digital (CD, pendrive, DVD, etc.).</t>
    </r>
  </si>
  <si>
    <t>Las muestras y contra muestras de los artículos que se utilicen para la certificación quedarán en poder de Lenor S.R.L. quien podrá disponer de las mismas en la forma que considere conveniente luego de 30 días de la emisión del correspondiente certificado.</t>
  </si>
  <si>
    <t>Declaro además que las siguientes partes (especificar parte y artículo) han sido fabricadas con material de la misma formulación:</t>
  </si>
  <si>
    <t>(1)</t>
  </si>
  <si>
    <t>(2)</t>
  </si>
  <si>
    <t>(3)</t>
  </si>
  <si>
    <t>(4)</t>
  </si>
  <si>
    <t>(5)</t>
  </si>
  <si>
    <t>(6)</t>
  </si>
  <si>
    <t>(7)</t>
  </si>
  <si>
    <t>(8)</t>
  </si>
  <si>
    <t>Codigo de origen del articulo</t>
  </si>
  <si>
    <t>Código de comercializacion del articulo</t>
  </si>
  <si>
    <t>Denominacion del articulo</t>
  </si>
  <si>
    <t>Breve descripción del articulo</t>
  </si>
  <si>
    <t>Fabricante direccion pais</t>
  </si>
  <si>
    <t>Parte del articulo de material suceptible de ser plastificado con ftalatos</t>
  </si>
  <si>
    <t>El contenido de  DBP, BBP y DEHP es menor que 0,1% m/m (art. 1º)</t>
  </si>
  <si>
    <t>El contenido de DNOP, DINP y DIDP es menor que  0,1% m/m (Art. 2º)</t>
  </si>
  <si>
    <t>Foto producto</t>
  </si>
  <si>
    <t>Resultado del Beilstein (completar por Lenor)</t>
  </si>
  <si>
    <t>Firma y aclaración del Apoderado Legal de la empresa:</t>
  </si>
  <si>
    <t>Análisis de la documentación presentada (a completar por LENOR OCP)</t>
  </si>
  <si>
    <t>Los campos de la solicitud están todos completos:</t>
  </si>
  <si>
    <t>Se presentaron fotos de todos los artículos:</t>
  </si>
  <si>
    <t>Formato digital:</t>
  </si>
  <si>
    <t>Firma de la solicitud:</t>
  </si>
  <si>
    <t>Resultado del análisis:</t>
  </si>
  <si>
    <t>Solicitud de ensayos de caracterización (completar por Lenor OCP)</t>
  </si>
  <si>
    <t>Solicito al Laboratorio</t>
  </si>
  <si>
    <t>realice la caracterización descripta en la Resolución 2/2011 del Ministerio de Salud, de los artículos detallados en este F01.</t>
  </si>
  <si>
    <t>Cantidad de artículos a ensayar:</t>
  </si>
  <si>
    <t>Firma del Responsable Técnico:</t>
  </si>
  <si>
    <t>Aclaración:</t>
  </si>
  <si>
    <t>Productos:</t>
  </si>
  <si>
    <t>Sistemas</t>
  </si>
  <si>
    <t>Eléctricos SE</t>
  </si>
  <si>
    <t>Eléctricos EE</t>
  </si>
  <si>
    <t>Juguetes Seguridad</t>
  </si>
  <si>
    <t>Artículos escolares</t>
  </si>
  <si>
    <t>Gráficos</t>
  </si>
  <si>
    <t>RoHS</t>
  </si>
  <si>
    <t>Eléctricos (Seguridad)</t>
  </si>
  <si>
    <t>Tipo (Sistema 4)</t>
  </si>
  <si>
    <t>Eléctricos (Eficiencia Energética)</t>
  </si>
  <si>
    <t>Marca (Sistema 5 )</t>
  </si>
  <si>
    <t>Marca (Sistema 5)</t>
  </si>
  <si>
    <t>Juguetes</t>
  </si>
  <si>
    <t>Lote (Sistema 7)</t>
  </si>
  <si>
    <t>Pilas y baterías</t>
  </si>
  <si>
    <t>Encendedores</t>
  </si>
  <si>
    <t>Gas</t>
  </si>
  <si>
    <t>Ascensores</t>
  </si>
  <si>
    <t>Bicicletas infantiles</t>
  </si>
  <si>
    <t>Tipo (Sistema 4a)</t>
  </si>
  <si>
    <t>Bicicletas adultos</t>
  </si>
  <si>
    <t>Cámaras y cubiertas de bicicletas</t>
  </si>
  <si>
    <t>Tambores para miel a granel</t>
  </si>
  <si>
    <t>Eléctricos_Seguridad</t>
  </si>
  <si>
    <t>Resolución 169/2018</t>
  </si>
  <si>
    <t>Eléctricos_Eficiencia</t>
  </si>
  <si>
    <t>Resolución 319/1999</t>
  </si>
  <si>
    <t>Pilas</t>
  </si>
  <si>
    <t>Si</t>
  </si>
  <si>
    <t>Juguetes_Seguridad</t>
  </si>
  <si>
    <t>Resolución 163/2005</t>
  </si>
  <si>
    <t>Transformador</t>
  </si>
  <si>
    <t>No</t>
  </si>
  <si>
    <t>Artículos_Escolares</t>
  </si>
  <si>
    <t>Resolución 680/2015</t>
  </si>
  <si>
    <t>Radio control</t>
  </si>
  <si>
    <t>NA</t>
  </si>
  <si>
    <t>Resolución 453/2010</t>
  </si>
  <si>
    <t>Doble alimentación</t>
  </si>
  <si>
    <t>Pilas_y_baterías</t>
  </si>
  <si>
    <t>Ley 26184</t>
  </si>
  <si>
    <t>Resolución 77/2004</t>
  </si>
  <si>
    <t>Resolución 583/2008</t>
  </si>
  <si>
    <t>Resolución 139/1995</t>
  </si>
  <si>
    <t>Resolución 897/99</t>
  </si>
  <si>
    <t>Bicicletas_infantiles</t>
  </si>
  <si>
    <t>Resolución 91/2004</t>
  </si>
  <si>
    <t>Bicicletas_adultos</t>
  </si>
  <si>
    <t>Resolución 220/2003</t>
  </si>
  <si>
    <t>Cámaras_y_cubiertas_bicicletas</t>
  </si>
  <si>
    <t>Resolución 281/2018</t>
  </si>
  <si>
    <t>Tambores_miel_a_granel</t>
  </si>
  <si>
    <t>Resolución E5/2018</t>
  </si>
  <si>
    <t>BS EN 5081</t>
  </si>
  <si>
    <t>Cant art:</t>
  </si>
  <si>
    <t>Encendedores (general)</t>
  </si>
  <si>
    <t>IRAM 3980</t>
  </si>
  <si>
    <t>Piezoeléctricos a gas con llama</t>
  </si>
  <si>
    <t>IRAM 3981</t>
  </si>
  <si>
    <t>Schrader</t>
  </si>
  <si>
    <t>Piezoeléctricos para artefactos domésticos o industriales</t>
  </si>
  <si>
    <t>IRAM 3982</t>
  </si>
  <si>
    <t>Presta</t>
  </si>
  <si>
    <t xml:space="preserve">Nombre: </t>
  </si>
  <si>
    <t xml:space="preserve">Domicilio legal: 						</t>
  </si>
  <si>
    <t xml:space="preserve">email:                                                                                               </t>
  </si>
  <si>
    <t>emanuel@bidcom.com.ar</t>
  </si>
  <si>
    <t xml:space="preserve">3960-0184  </t>
  </si>
  <si>
    <t xml:space="preserve">Teléfono(s):                                               </t>
  </si>
  <si>
    <t xml:space="preserve">Nombre de contacto:                                                </t>
  </si>
  <si>
    <t xml:space="preserve">BARNA, Emanuel Lucas </t>
  </si>
  <si>
    <t xml:space="preserve">Razón social:  </t>
  </si>
  <si>
    <t xml:space="preserve">email: </t>
  </si>
  <si>
    <t xml:space="preserve">Teléfono(s): </t>
  </si>
  <si>
    <t xml:space="preserve">Nombre de contacto: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</si>
</sst>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
  </numFmts>
  <fonts count="51">
    <font>
      <sz val="11"/>
      <color theme="1"/>
      <name val="Calibri"/>
      <scheme val="minor"/>
    </font>
    <font>
      <sz val="11"/>
      <color theme="1"/>
      <name val="Calibri"/>
      <family val="2"/>
    </font>
    <font>
      <b/>
      <i/>
      <sz val="14"/>
      <color rgb="FF000000"/>
      <name val="Calibri"/>
      <family val="2"/>
    </font>
    <font>
      <sz val="11"/>
      <name val="Calibri"/>
      <family val="2"/>
    </font>
    <font>
      <b/>
      <sz val="11"/>
      <color rgb="FF3F3F3F"/>
      <name val="Calibri"/>
      <family val="2"/>
    </font>
    <font>
      <i/>
      <sz val="11"/>
      <color rgb="FF800080"/>
      <name val="Calibri"/>
      <family val="2"/>
    </font>
    <font>
      <sz val="11"/>
      <color rgb="FF9C0006"/>
      <name val="Calibri"/>
      <family val="2"/>
    </font>
    <font>
      <sz val="10"/>
      <color theme="1"/>
      <name val="Arial"/>
      <family val="2"/>
    </font>
    <font>
      <i/>
      <sz val="11"/>
      <color rgb="FF000000"/>
      <name val="Calibri"/>
      <family val="2"/>
    </font>
    <font>
      <i/>
      <sz val="11"/>
      <color rgb="FF008000"/>
      <name val="Calibri"/>
      <family val="2"/>
    </font>
    <font>
      <sz val="11"/>
      <color rgb="FF006100"/>
      <name val="Calibri"/>
      <family val="2"/>
    </font>
    <font>
      <sz val="10"/>
      <color rgb="FF008000"/>
      <name val="Arial"/>
      <family val="2"/>
    </font>
    <font>
      <sz val="10"/>
      <color rgb="FF000000"/>
      <name val="Calibri"/>
      <family val="2"/>
    </font>
    <font>
      <i/>
      <sz val="11"/>
      <color rgb="FF993300"/>
      <name val="Calibri"/>
      <family val="2"/>
    </font>
    <font>
      <i/>
      <sz val="11"/>
      <color rgb="FF333399"/>
      <name val="Calibri"/>
      <family val="2"/>
    </font>
    <font>
      <sz val="11"/>
      <color theme="1"/>
      <name val="Calibri"/>
      <family val="2"/>
      <scheme val="minor"/>
    </font>
    <font>
      <sz val="11"/>
      <color rgb="FF3F3F76"/>
      <name val="Calibri"/>
      <family val="2"/>
    </font>
    <font>
      <i/>
      <sz val="11"/>
      <color rgb="FFFFFFFF"/>
      <name val="Calibri"/>
      <family val="2"/>
    </font>
    <font>
      <i/>
      <sz val="11"/>
      <color rgb="FF808000"/>
      <name val="Calibri"/>
      <family val="2"/>
    </font>
    <font>
      <sz val="11"/>
      <color theme="0"/>
      <name val="Calibri"/>
      <family val="2"/>
    </font>
    <font>
      <u/>
      <sz val="11"/>
      <color rgb="FF000000"/>
      <name val="Calibri"/>
      <family val="2"/>
    </font>
    <font>
      <sz val="10"/>
      <color rgb="FF000000"/>
      <name val="Arial"/>
      <family val="2"/>
    </font>
    <font>
      <i/>
      <sz val="8"/>
      <color rgb="FF000000"/>
      <name val="Calibri"/>
      <family val="2"/>
    </font>
    <font>
      <sz val="11"/>
      <color rgb="FF000000"/>
      <name val="Calibri"/>
      <family val="2"/>
    </font>
    <font>
      <sz val="11"/>
      <color rgb="FFFFFFFF"/>
      <name val="Calibri"/>
      <family val="2"/>
    </font>
    <font>
      <sz val="10"/>
      <color rgb="FFFFFFFF"/>
      <name val="Arimo"/>
    </font>
    <font>
      <i/>
      <sz val="10"/>
      <color rgb="FF000000"/>
      <name val="Calibri"/>
      <family val="2"/>
    </font>
    <font>
      <b/>
      <sz val="12"/>
      <color theme="1"/>
      <name val="Arial"/>
      <family val="2"/>
    </font>
    <font>
      <b/>
      <sz val="12"/>
      <color theme="1"/>
      <name val="Arial Narrow"/>
      <family val="2"/>
    </font>
    <font>
      <sz val="12"/>
      <color rgb="FF000000"/>
      <name val="Calibri"/>
      <family val="2"/>
    </font>
    <font>
      <b/>
      <i/>
      <sz val="12"/>
      <color rgb="FF008000"/>
      <name val="Arial"/>
      <family val="2"/>
    </font>
    <font>
      <sz val="12"/>
      <color theme="1"/>
      <name val="Arial"/>
      <family val="2"/>
    </font>
    <font>
      <sz val="12"/>
      <color rgb="FF000000"/>
      <name val="Arial"/>
      <family val="2"/>
    </font>
    <font>
      <u/>
      <sz val="12"/>
      <color rgb="FF0000FF"/>
      <name val="Arial"/>
      <family val="2"/>
    </font>
    <font>
      <sz val="11"/>
      <color theme="1"/>
      <name val="Arial"/>
      <family val="2"/>
    </font>
    <font>
      <b/>
      <sz val="16"/>
      <color theme="1"/>
      <name val="Arial"/>
      <family val="2"/>
    </font>
    <font>
      <b/>
      <sz val="11"/>
      <color theme="1"/>
      <name val="Arial"/>
      <family val="2"/>
    </font>
    <font>
      <b/>
      <i/>
      <sz val="12"/>
      <color theme="1"/>
      <name val="Arial"/>
      <family val="2"/>
    </font>
    <font>
      <i/>
      <sz val="12"/>
      <color theme="1"/>
      <name val="Arial"/>
      <family val="2"/>
    </font>
    <font>
      <i/>
      <sz val="11"/>
      <color rgb="FF000000"/>
      <name val="Arial"/>
      <family val="2"/>
    </font>
    <font>
      <b/>
      <i/>
      <sz val="12"/>
      <color rgb="FF000000"/>
      <name val="Arial"/>
      <family val="2"/>
    </font>
    <font>
      <sz val="11"/>
      <color theme="1"/>
      <name val="Arial Narrow"/>
      <family val="2"/>
    </font>
    <font>
      <sz val="10"/>
      <color theme="1"/>
      <name val="Arial Narrow"/>
      <family val="2"/>
    </font>
    <font>
      <sz val="11"/>
      <color theme="1"/>
      <name val="Arial"/>
      <family val="2"/>
    </font>
    <font>
      <sz val="10"/>
      <color theme="1"/>
      <name val="Calibri"/>
      <family val="2"/>
    </font>
    <font>
      <sz val="9"/>
      <color theme="1"/>
      <name val="Calibri"/>
      <family val="2"/>
    </font>
    <font>
      <sz val="9"/>
      <color rgb="FF000000"/>
      <name val="Calibri"/>
      <family val="2"/>
    </font>
    <font>
      <b/>
      <i/>
      <sz val="11"/>
      <color rgb="FF800080"/>
      <name val="Arial"/>
      <family val="2"/>
    </font>
    <font>
      <sz val="11"/>
      <color rgb="FF000000"/>
      <name val="Arial"/>
      <family val="2"/>
    </font>
    <font>
      <b/>
      <i/>
      <sz val="11"/>
      <color theme="1"/>
      <name val="Calibri"/>
      <family val="2"/>
    </font>
    <font>
      <u/>
      <sz val="11"/>
      <color theme="10"/>
      <name val="Calibri"/>
      <family val="2"/>
      <scheme val="minor"/>
    </font>
  </fonts>
  <fills count="18">
    <fill>
      <patternFill patternType="none"/>
    </fill>
    <fill>
      <patternFill patternType="gray125"/>
    </fill>
    <fill>
      <patternFill patternType="solid">
        <fgColor rgb="FFF2F2F2"/>
        <bgColor rgb="FFF2F2F2"/>
      </patternFill>
    </fill>
    <fill>
      <patternFill patternType="solid">
        <fgColor rgb="FFFFC7CE"/>
        <bgColor rgb="FFFFC7CE"/>
      </patternFill>
    </fill>
    <fill>
      <patternFill patternType="solid">
        <fgColor rgb="FFC6EFCE"/>
        <bgColor rgb="FFC6EFCE"/>
      </patternFill>
    </fill>
    <fill>
      <patternFill patternType="solid">
        <fgColor rgb="FFFBE4D5"/>
        <bgColor rgb="FFFBE4D5"/>
      </patternFill>
    </fill>
    <fill>
      <patternFill patternType="solid">
        <fgColor rgb="FFD9E2F3"/>
        <bgColor rgb="FFD9E2F3"/>
      </patternFill>
    </fill>
    <fill>
      <patternFill patternType="solid">
        <fgColor rgb="FFFFFF99"/>
        <bgColor rgb="FFFFFF99"/>
      </patternFill>
    </fill>
    <fill>
      <patternFill patternType="solid">
        <fgColor theme="8"/>
        <bgColor theme="8"/>
      </patternFill>
    </fill>
    <fill>
      <patternFill patternType="solid">
        <fgColor rgb="FFFFE598"/>
        <bgColor rgb="FFFFE598"/>
      </patternFill>
    </fill>
    <fill>
      <patternFill patternType="solid">
        <fgColor rgb="FFFFCC99"/>
        <bgColor rgb="FFFFCC99"/>
      </patternFill>
    </fill>
    <fill>
      <patternFill patternType="solid">
        <fgColor rgb="FFF7CAAC"/>
        <bgColor rgb="FFF7CAAC"/>
      </patternFill>
    </fill>
    <fill>
      <patternFill patternType="solid">
        <fgColor rgb="FFFFFFFF"/>
        <bgColor rgb="FFFFFFFF"/>
      </patternFill>
    </fill>
    <fill>
      <patternFill patternType="solid">
        <fgColor rgb="FFDADADA"/>
        <bgColor rgb="FFDADADA"/>
      </patternFill>
    </fill>
    <fill>
      <patternFill patternType="solid">
        <fgColor rgb="FFFFFFCC"/>
        <bgColor rgb="FFFFFFCC"/>
      </patternFill>
    </fill>
    <fill>
      <patternFill patternType="solid">
        <fgColor theme="0"/>
        <bgColor theme="0"/>
      </patternFill>
    </fill>
    <fill>
      <patternFill patternType="solid">
        <fgColor theme="4"/>
        <bgColor theme="4"/>
      </patternFill>
    </fill>
    <fill>
      <patternFill patternType="solid">
        <fgColor rgb="FFC0C0C0"/>
        <bgColor rgb="FFC0C0C0"/>
      </patternFill>
    </fill>
  </fills>
  <borders count="81">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333333"/>
      </left>
      <right style="thin">
        <color rgb="FF333333"/>
      </right>
      <top/>
      <bottom style="thin">
        <color rgb="FF333333"/>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top/>
      <bottom/>
      <diagonal/>
    </border>
    <border>
      <left/>
      <right style="thin">
        <color rgb="FF000000"/>
      </right>
      <top/>
      <bottom/>
      <diagonal/>
    </border>
    <border>
      <left style="thin">
        <color rgb="FF000000"/>
      </left>
      <right style="thin">
        <color rgb="FF80808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3F3F3F"/>
      </left>
      <right/>
      <top style="thin">
        <color rgb="FF3F3F3F"/>
      </top>
      <bottom style="thin">
        <color rgb="FF3F3F3F"/>
      </bottom>
      <diagonal/>
    </border>
    <border>
      <left/>
      <right/>
      <top style="thin">
        <color rgb="FF3F3F3F"/>
      </top>
      <bottom style="thin">
        <color rgb="FF3F3F3F"/>
      </bottom>
      <diagonal/>
    </border>
    <border>
      <left/>
      <right style="thin">
        <color rgb="FF3F3F3F"/>
      </right>
      <top style="thin">
        <color rgb="FF3F3F3F"/>
      </top>
      <bottom style="thin">
        <color rgb="FF3F3F3F"/>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medium">
        <color rgb="FF000000"/>
      </left>
      <right/>
      <top style="thin">
        <color rgb="FF000000"/>
      </top>
      <bottom style="thin">
        <color rgb="FF000000"/>
      </bottom>
      <diagonal/>
    </border>
    <border>
      <left style="medium">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medium">
        <color rgb="FF000000"/>
      </right>
      <top/>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diagonal/>
    </border>
    <border>
      <left style="thin">
        <color rgb="FF000000"/>
      </left>
      <right/>
      <top/>
      <bottom/>
      <diagonal/>
    </border>
    <border>
      <left/>
      <right style="medium">
        <color rgb="FF000000"/>
      </right>
      <top/>
      <bottom/>
      <diagonal/>
    </border>
    <border>
      <left/>
      <right/>
      <top/>
      <bottom style="thin">
        <color rgb="FF000000"/>
      </bottom>
      <diagonal/>
    </border>
    <border>
      <left/>
      <right style="thin">
        <color rgb="FF000000"/>
      </right>
      <top/>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right style="double">
        <color rgb="FF687D5C"/>
      </right>
      <top/>
      <bottom style="thin">
        <color rgb="FFF3F3F3"/>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medium">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bottom/>
      <diagonal/>
    </border>
  </borders>
  <cellStyleXfs count="2">
    <xf numFmtId="0" fontId="0" fillId="0" borderId="0"/>
    <xf numFmtId="0" fontId="50" fillId="0" borderId="0" applyNumberFormat="0" applyFill="0" applyBorder="0" applyAlignment="0" applyProtection="0"/>
  </cellStyleXfs>
  <cellXfs count="184">
    <xf numFmtId="0" fontId="0" fillId="0" borderId="0" xfId="0"/>
    <xf numFmtId="0" fontId="1" fillId="0" borderId="1" xfId="0" applyFont="1" applyBorder="1"/>
    <xf numFmtId="0" fontId="1" fillId="0" borderId="3" xfId="0" applyFont="1" applyBorder="1" applyAlignment="1">
      <alignment horizontal="center" vertical="center"/>
    </xf>
    <xf numFmtId="0" fontId="1" fillId="0" borderId="4" xfId="0" applyFont="1" applyBorder="1"/>
    <xf numFmtId="0" fontId="1" fillId="0" borderId="6" xfId="0" applyFont="1" applyBorder="1" applyAlignment="1">
      <alignment horizontal="center" vertical="center"/>
    </xf>
    <xf numFmtId="0" fontId="4" fillId="2" borderId="7" xfId="0" applyFont="1" applyFill="1" applyBorder="1" applyAlignment="1">
      <alignment horizontal="right" vertical="center"/>
    </xf>
    <xf numFmtId="14" fontId="1" fillId="0" borderId="8" xfId="0" applyNumberFormat="1" applyFont="1" applyBorder="1" applyAlignment="1">
      <alignment horizontal="center" vertical="center"/>
    </xf>
    <xf numFmtId="164" fontId="1" fillId="0" borderId="8" xfId="0" applyNumberFormat="1" applyFont="1" applyBorder="1" applyAlignment="1">
      <alignment horizontal="center" vertical="center"/>
    </xf>
    <xf numFmtId="0" fontId="6" fillId="3" borderId="12" xfId="0" applyFont="1" applyFill="1" applyBorder="1" applyAlignment="1">
      <alignment vertical="center"/>
    </xf>
    <xf numFmtId="0" fontId="6" fillId="3" borderId="16" xfId="0" applyFont="1" applyFill="1" applyBorder="1" applyAlignment="1">
      <alignment vertical="center"/>
    </xf>
    <xf numFmtId="0" fontId="1" fillId="0" borderId="0" xfId="0" applyFont="1" applyAlignment="1">
      <alignment vertical="center"/>
    </xf>
    <xf numFmtId="0" fontId="10" fillId="4" borderId="12" xfId="0" applyFont="1" applyFill="1" applyBorder="1" applyAlignment="1">
      <alignment vertical="center"/>
    </xf>
    <xf numFmtId="49" fontId="10" fillId="4" borderId="21" xfId="0" applyNumberFormat="1" applyFont="1" applyFill="1" applyBorder="1" applyAlignment="1">
      <alignment horizontal="left" vertical="center" wrapText="1"/>
    </xf>
    <xf numFmtId="0" fontId="10" fillId="4" borderId="21" xfId="0" applyFont="1" applyFill="1" applyBorder="1" applyAlignment="1">
      <alignment vertical="center"/>
    </xf>
    <xf numFmtId="49" fontId="10" fillId="4" borderId="22" xfId="0" applyNumberFormat="1" applyFont="1" applyFill="1" applyBorder="1" applyAlignment="1">
      <alignment horizontal="left" vertical="center" wrapText="1"/>
    </xf>
    <xf numFmtId="0" fontId="10" fillId="4" borderId="16" xfId="0" applyFont="1" applyFill="1" applyBorder="1" applyAlignment="1">
      <alignment vertical="center"/>
    </xf>
    <xf numFmtId="0" fontId="12" fillId="0" borderId="0" xfId="0" applyFont="1" applyAlignment="1">
      <alignment vertical="center"/>
    </xf>
    <xf numFmtId="0" fontId="1" fillId="0" borderId="0" xfId="0" applyFont="1"/>
    <xf numFmtId="0" fontId="15" fillId="0" borderId="0" xfId="0" applyFont="1"/>
    <xf numFmtId="0" fontId="16" fillId="7" borderId="23" xfId="0" applyFont="1" applyFill="1" applyBorder="1" applyAlignment="1">
      <alignment vertical="center"/>
    </xf>
    <xf numFmtId="0" fontId="20" fillId="0" borderId="0" xfId="0" applyFont="1"/>
    <xf numFmtId="0" fontId="16" fillId="10" borderId="25" xfId="0" applyFont="1" applyFill="1" applyBorder="1" applyAlignment="1">
      <alignment horizontal="right" vertical="center" wrapText="1"/>
    </xf>
    <xf numFmtId="0" fontId="1" fillId="11" borderId="12" xfId="0" applyFont="1" applyFill="1" applyBorder="1" applyAlignment="1">
      <alignment vertical="center"/>
    </xf>
    <xf numFmtId="0" fontId="23" fillId="11" borderId="12" xfId="0" applyFont="1" applyFill="1" applyBorder="1" applyAlignment="1">
      <alignment vertical="center"/>
    </xf>
    <xf numFmtId="0" fontId="1" fillId="11" borderId="16" xfId="0" applyFont="1" applyFill="1" applyBorder="1" applyAlignment="1">
      <alignment vertical="center"/>
    </xf>
    <xf numFmtId="49" fontId="21" fillId="11" borderId="31" xfId="0" applyNumberFormat="1" applyFont="1" applyFill="1" applyBorder="1" applyAlignment="1">
      <alignment vertical="center" wrapText="1"/>
    </xf>
    <xf numFmtId="0" fontId="1" fillId="11" borderId="31" xfId="0" applyFont="1" applyFill="1" applyBorder="1" applyAlignment="1">
      <alignment vertical="center"/>
    </xf>
    <xf numFmtId="49" fontId="21" fillId="11" borderId="32" xfId="0" applyNumberFormat="1" applyFont="1" applyFill="1" applyBorder="1" applyAlignment="1">
      <alignment vertical="center" wrapText="1"/>
    </xf>
    <xf numFmtId="49" fontId="21" fillId="11" borderId="21" xfId="0" applyNumberFormat="1" applyFont="1" applyFill="1" applyBorder="1" applyAlignment="1">
      <alignment vertical="center" wrapText="1"/>
    </xf>
    <xf numFmtId="0" fontId="25" fillId="0" borderId="0" xfId="0" applyFont="1" applyAlignment="1">
      <alignment horizontal="left" vertical="center"/>
    </xf>
    <xf numFmtId="0" fontId="26" fillId="0" borderId="0" xfId="0" applyFont="1"/>
    <xf numFmtId="0" fontId="29" fillId="0" borderId="0" xfId="0" applyFont="1"/>
    <xf numFmtId="165" fontId="1" fillId="0" borderId="20" xfId="0" applyNumberFormat="1" applyFont="1" applyBorder="1"/>
    <xf numFmtId="165" fontId="1" fillId="0" borderId="30" xfId="0" applyNumberFormat="1" applyFont="1" applyBorder="1"/>
    <xf numFmtId="1" fontId="31" fillId="15" borderId="45" xfId="0" applyNumberFormat="1" applyFont="1" applyFill="1" applyBorder="1" applyAlignment="1">
      <alignment horizontal="center" vertical="center" wrapText="1"/>
    </xf>
    <xf numFmtId="49" fontId="29" fillId="0" borderId="0" xfId="0" applyNumberFormat="1" applyFont="1"/>
    <xf numFmtId="0" fontId="31" fillId="14" borderId="25" xfId="0" applyFont="1" applyFill="1" applyBorder="1" applyAlignment="1">
      <alignment horizontal="center" vertical="center" wrapText="1"/>
    </xf>
    <xf numFmtId="0" fontId="31" fillId="14" borderId="51" xfId="0" applyFont="1" applyFill="1" applyBorder="1" applyAlignment="1">
      <alignment horizontal="center" vertical="center" wrapText="1"/>
    </xf>
    <xf numFmtId="49" fontId="41" fillId="12" borderId="63" xfId="0" applyNumberFormat="1" applyFont="1" applyFill="1" applyBorder="1" applyAlignment="1">
      <alignment horizontal="center" vertical="center" wrapText="1"/>
    </xf>
    <xf numFmtId="49" fontId="41" fillId="12" borderId="64" xfId="0" applyNumberFormat="1" applyFont="1" applyFill="1" applyBorder="1" applyAlignment="1">
      <alignment horizontal="center" vertical="center" wrapText="1"/>
    </xf>
    <xf numFmtId="0" fontId="1" fillId="0" borderId="64" xfId="0" applyFont="1" applyBorder="1" applyAlignment="1">
      <alignment vertical="center"/>
    </xf>
    <xf numFmtId="0" fontId="41" fillId="17" borderId="64" xfId="0" applyFont="1" applyFill="1" applyBorder="1" applyAlignment="1">
      <alignment horizontal="center" vertical="center" wrapText="1"/>
    </xf>
    <xf numFmtId="0" fontId="41" fillId="17" borderId="65" xfId="0" applyFont="1" applyFill="1" applyBorder="1" applyAlignment="1">
      <alignment horizontal="center" vertical="center" wrapText="1"/>
    </xf>
    <xf numFmtId="0" fontId="42" fillId="17" borderId="64" xfId="0" applyFont="1" applyFill="1" applyBorder="1" applyAlignment="1">
      <alignment horizontal="center" vertical="center" wrapText="1"/>
    </xf>
    <xf numFmtId="0" fontId="41" fillId="14" borderId="64" xfId="0" applyFont="1" applyFill="1" applyBorder="1" applyAlignment="1">
      <alignment horizontal="center" vertical="center" wrapText="1"/>
    </xf>
    <xf numFmtId="0" fontId="43" fillId="12" borderId="66" xfId="0" applyFont="1" applyFill="1" applyBorder="1" applyAlignment="1">
      <alignment vertical="center"/>
    </xf>
    <xf numFmtId="0" fontId="12" fillId="0" borderId="64" xfId="0" applyFont="1" applyBorder="1" applyAlignment="1">
      <alignment horizontal="center" vertical="center" wrapText="1"/>
    </xf>
    <xf numFmtId="0" fontId="7" fillId="0" borderId="67" xfId="0" applyFont="1" applyBorder="1" applyAlignment="1">
      <alignment horizontal="center" vertical="center" wrapText="1"/>
    </xf>
    <xf numFmtId="0" fontId="7" fillId="0" borderId="68" xfId="0" applyFont="1" applyBorder="1" applyAlignment="1">
      <alignment horizontal="center" vertical="center" wrapText="1"/>
    </xf>
    <xf numFmtId="0" fontId="1" fillId="0" borderId="69" xfId="0" applyFont="1" applyBorder="1"/>
    <xf numFmtId="0" fontId="1" fillId="0" borderId="64" xfId="0" applyFont="1" applyBorder="1"/>
    <xf numFmtId="0" fontId="44" fillId="0" borderId="25" xfId="0" applyFont="1" applyBorder="1" applyAlignment="1">
      <alignment horizontal="center" vertical="center" wrapText="1"/>
    </xf>
    <xf numFmtId="0" fontId="12" fillId="0" borderId="70" xfId="0" applyFont="1" applyBorder="1" applyAlignment="1">
      <alignment horizontal="center" vertical="center" wrapText="1"/>
    </xf>
    <xf numFmtId="0" fontId="45" fillId="0" borderId="64" xfId="0" applyFont="1" applyBorder="1" applyAlignment="1">
      <alignment horizontal="center" vertical="center" wrapText="1"/>
    </xf>
    <xf numFmtId="49" fontId="45" fillId="0" borderId="25" xfId="0" applyNumberFormat="1" applyFont="1" applyBorder="1" applyAlignment="1">
      <alignment horizontal="center" vertical="center" wrapText="1"/>
    </xf>
    <xf numFmtId="49" fontId="44" fillId="0" borderId="70" xfId="0" applyNumberFormat="1" applyFont="1" applyBorder="1" applyAlignment="1">
      <alignment horizontal="center" vertical="center" wrapText="1"/>
    </xf>
    <xf numFmtId="0" fontId="1" fillId="0" borderId="36" xfId="0" applyFont="1" applyBorder="1"/>
    <xf numFmtId="49" fontId="12" fillId="0" borderId="70" xfId="0" applyNumberFormat="1" applyFont="1" applyBorder="1" applyAlignment="1">
      <alignment horizontal="center" vertical="center" wrapText="1"/>
    </xf>
    <xf numFmtId="49" fontId="44" fillId="0" borderId="64" xfId="0" applyNumberFormat="1" applyFont="1" applyBorder="1" applyAlignment="1">
      <alignment horizontal="center" vertical="center" wrapText="1"/>
    </xf>
    <xf numFmtId="0" fontId="12" fillId="0" borderId="64" xfId="0" applyFont="1" applyBorder="1" applyAlignment="1">
      <alignment horizontal="center" vertical="center"/>
    </xf>
    <xf numFmtId="0" fontId="45" fillId="0" borderId="70" xfId="0" applyFont="1" applyBorder="1" applyAlignment="1">
      <alignment horizontal="center" vertical="center" wrapText="1"/>
    </xf>
    <xf numFmtId="0" fontId="46" fillId="0" borderId="64" xfId="0" applyFont="1" applyBorder="1" applyAlignment="1">
      <alignment horizontal="center" vertical="center" wrapText="1"/>
    </xf>
    <xf numFmtId="0" fontId="44" fillId="0" borderId="64" xfId="0" applyFont="1" applyBorder="1" applyAlignment="1">
      <alignment horizontal="center" vertical="center" wrapText="1"/>
    </xf>
    <xf numFmtId="0" fontId="40" fillId="0" borderId="75" xfId="0" applyFont="1" applyBorder="1" applyAlignment="1">
      <alignment vertical="center"/>
    </xf>
    <xf numFmtId="0" fontId="40" fillId="0" borderId="75" xfId="0" applyFont="1" applyBorder="1" applyAlignment="1">
      <alignment horizontal="center" vertical="center"/>
    </xf>
    <xf numFmtId="0" fontId="48" fillId="0" borderId="79" xfId="0" applyFont="1" applyBorder="1" applyAlignment="1">
      <alignment horizontal="center" vertical="center"/>
    </xf>
    <xf numFmtId="165" fontId="32" fillId="0" borderId="25" xfId="0" applyNumberFormat="1" applyFont="1" applyBorder="1" applyAlignment="1">
      <alignment horizontal="center" vertical="center"/>
    </xf>
    <xf numFmtId="0" fontId="49" fillId="14" borderId="25" xfId="0" applyFont="1" applyFill="1" applyBorder="1" applyAlignment="1">
      <alignment horizontal="center" vertical="center"/>
    </xf>
    <xf numFmtId="164" fontId="1" fillId="0" borderId="25" xfId="0" applyNumberFormat="1" applyFont="1" applyBorder="1" applyAlignment="1">
      <alignment horizontal="center" vertical="center"/>
    </xf>
    <xf numFmtId="0" fontId="1" fillId="0" borderId="25" xfId="0" applyFont="1" applyBorder="1" applyAlignment="1">
      <alignment horizontal="right" vertical="center"/>
    </xf>
    <xf numFmtId="0" fontId="1" fillId="0" borderId="0" xfId="0" applyFont="1" applyAlignment="1">
      <alignment wrapText="1"/>
    </xf>
    <xf numFmtId="0" fontId="2" fillId="0" borderId="2" xfId="0" applyFont="1" applyBorder="1" applyAlignment="1">
      <alignment horizontal="center" vertical="center"/>
    </xf>
    <xf numFmtId="0" fontId="3" fillId="0" borderId="2" xfId="0" applyFont="1" applyBorder="1"/>
    <xf numFmtId="0" fontId="1" fillId="0" borderId="5" xfId="0" applyFont="1" applyBorder="1" applyAlignment="1">
      <alignment horizontal="center" vertical="center"/>
    </xf>
    <xf numFmtId="0" fontId="3" fillId="0" borderId="5" xfId="0" applyFont="1" applyBorder="1"/>
    <xf numFmtId="0" fontId="5" fillId="3" borderId="9" xfId="0" applyFont="1" applyFill="1" applyBorder="1" applyAlignment="1">
      <alignment horizontal="right" vertical="center"/>
    </xf>
    <xf numFmtId="0" fontId="3" fillId="0" borderId="10" xfId="0" applyFont="1" applyBorder="1"/>
    <xf numFmtId="0" fontId="3" fillId="0" borderId="11" xfId="0" applyFont="1" applyBorder="1"/>
    <xf numFmtId="49" fontId="7" fillId="3" borderId="13" xfId="0" applyNumberFormat="1" applyFont="1" applyFill="1" applyBorder="1" applyAlignment="1">
      <alignment horizontal="left" vertical="center" wrapText="1"/>
    </xf>
    <xf numFmtId="0" fontId="3" fillId="0" borderId="14" xfId="0" applyFont="1" applyBorder="1"/>
    <xf numFmtId="0" fontId="3" fillId="0" borderId="15" xfId="0" applyFont="1" applyBorder="1"/>
    <xf numFmtId="49" fontId="7" fillId="3" borderId="17" xfId="0" applyNumberFormat="1" applyFont="1" applyFill="1" applyBorder="1" applyAlignment="1">
      <alignment horizontal="left" vertical="center" wrapText="1"/>
    </xf>
    <xf numFmtId="0" fontId="3" fillId="0" borderId="18" xfId="0" applyFont="1" applyBorder="1"/>
    <xf numFmtId="0" fontId="3" fillId="0" borderId="19" xfId="0" applyFont="1" applyBorder="1"/>
    <xf numFmtId="0" fontId="8" fillId="0" borderId="20" xfId="0" applyFont="1" applyBorder="1" applyAlignment="1">
      <alignment horizontal="left" vertical="center"/>
    </xf>
    <xf numFmtId="0" fontId="3" fillId="0" borderId="20" xfId="0" applyFont="1" applyBorder="1"/>
    <xf numFmtId="0" fontId="9" fillId="4" borderId="9" xfId="0" applyFont="1" applyFill="1" applyBorder="1" applyAlignment="1">
      <alignment horizontal="right" vertical="center"/>
    </xf>
    <xf numFmtId="49" fontId="11" fillId="4" borderId="13" xfId="0" applyNumberFormat="1" applyFont="1" applyFill="1" applyBorder="1" applyAlignment="1">
      <alignment horizontal="left" vertical="center" wrapText="1"/>
    </xf>
    <xf numFmtId="49" fontId="10" fillId="4" borderId="13" xfId="0" applyNumberFormat="1" applyFont="1" applyFill="1" applyBorder="1" applyAlignment="1">
      <alignment horizontal="left" vertical="center" wrapText="1"/>
    </xf>
    <xf numFmtId="49" fontId="10" fillId="4" borderId="17" xfId="0" applyNumberFormat="1" applyFont="1" applyFill="1" applyBorder="1" applyAlignment="1">
      <alignment horizontal="left" vertical="center" wrapText="1"/>
    </xf>
    <xf numFmtId="0" fontId="13" fillId="5" borderId="9" xfId="0" applyFont="1" applyFill="1" applyBorder="1" applyAlignment="1">
      <alignment horizontal="right" vertical="center"/>
    </xf>
    <xf numFmtId="0" fontId="14" fillId="6" borderId="9" xfId="0" applyFont="1" applyFill="1" applyBorder="1" applyAlignment="1">
      <alignment horizontal="right" vertical="center"/>
    </xf>
    <xf numFmtId="0" fontId="1" fillId="0" borderId="4" xfId="0" applyFont="1" applyBorder="1" applyAlignment="1">
      <alignment horizontal="center" vertical="center"/>
    </xf>
    <xf numFmtId="0" fontId="3" fillId="0" borderId="6" xfId="0" applyFont="1" applyBorder="1"/>
    <xf numFmtId="0" fontId="17" fillId="8" borderId="9" xfId="0" applyFont="1" applyFill="1" applyBorder="1" applyAlignment="1">
      <alignment horizontal="right" vertical="center"/>
    </xf>
    <xf numFmtId="0" fontId="18" fillId="9" borderId="9" xfId="0" applyFont="1" applyFill="1" applyBorder="1" applyAlignment="1">
      <alignment horizontal="right" vertical="center"/>
    </xf>
    <xf numFmtId="0" fontId="19" fillId="8" borderId="24" xfId="0" applyFont="1" applyFill="1" applyBorder="1" applyAlignment="1">
      <alignment horizontal="center" vertical="center"/>
    </xf>
    <xf numFmtId="0" fontId="16" fillId="7" borderId="24" xfId="0" applyFont="1" applyFill="1" applyBorder="1" applyAlignment="1">
      <alignment horizontal="center" vertical="center"/>
    </xf>
    <xf numFmtId="49" fontId="4" fillId="2" borderId="26" xfId="0" applyNumberFormat="1" applyFont="1" applyFill="1" applyBorder="1" applyAlignment="1">
      <alignment horizontal="center" vertical="center" wrapText="1"/>
    </xf>
    <xf numFmtId="0" fontId="3" fillId="0" borderId="27" xfId="0" applyFont="1" applyBorder="1"/>
    <xf numFmtId="0" fontId="3" fillId="0" borderId="28" xfId="0" applyFont="1" applyBorder="1"/>
    <xf numFmtId="49" fontId="21" fillId="0" borderId="29" xfId="0" applyNumberFormat="1" applyFont="1" applyBorder="1" applyAlignment="1">
      <alignment horizontal="left" vertical="center" wrapText="1"/>
    </xf>
    <xf numFmtId="0" fontId="3" fillId="0" borderId="30" xfId="0" applyFont="1" applyBorder="1"/>
    <xf numFmtId="0" fontId="22" fillId="0" borderId="29" xfId="0" applyFont="1" applyBorder="1" applyAlignment="1">
      <alignment horizontal="left" vertical="center" wrapText="1"/>
    </xf>
    <xf numFmtId="0" fontId="8" fillId="11" borderId="9" xfId="0" applyFont="1" applyFill="1" applyBorder="1" applyAlignment="1">
      <alignment horizontal="right" vertical="center"/>
    </xf>
    <xf numFmtId="49" fontId="21" fillId="11" borderId="13" xfId="0" applyNumberFormat="1" applyFont="1" applyFill="1" applyBorder="1" applyAlignment="1">
      <alignment horizontal="left" vertical="center" wrapText="1"/>
    </xf>
    <xf numFmtId="0" fontId="24" fillId="12" borderId="13" xfId="0" applyFont="1" applyFill="1" applyBorder="1" applyAlignment="1">
      <alignment horizontal="center" vertical="center"/>
    </xf>
    <xf numFmtId="0" fontId="3" fillId="0" borderId="33" xfId="0" applyFont="1" applyBorder="1"/>
    <xf numFmtId="0" fontId="5" fillId="3" borderId="29" xfId="0" applyFont="1" applyFill="1" applyBorder="1" applyAlignment="1">
      <alignment horizontal="right" vertical="center"/>
    </xf>
    <xf numFmtId="0" fontId="8" fillId="13" borderId="29" xfId="0" applyFont="1" applyFill="1" applyBorder="1" applyAlignment="1">
      <alignment horizontal="center" vertical="center" wrapText="1"/>
    </xf>
    <xf numFmtId="0" fontId="1" fillId="0" borderId="29" xfId="0" applyFont="1" applyBorder="1" applyAlignment="1">
      <alignment horizontal="center"/>
    </xf>
    <xf numFmtId="0" fontId="1" fillId="0" borderId="29" xfId="0" applyFont="1" applyBorder="1" applyAlignment="1">
      <alignment horizontal="right"/>
    </xf>
    <xf numFmtId="0" fontId="31" fillId="12" borderId="53" xfId="0" applyFont="1" applyFill="1" applyBorder="1" applyAlignment="1">
      <alignment horizontal="left" vertical="center" wrapText="1"/>
    </xf>
    <xf numFmtId="0" fontId="3" fillId="0" borderId="54" xfId="0" applyFont="1" applyBorder="1"/>
    <xf numFmtId="0" fontId="31" fillId="12" borderId="56" xfId="0" applyFont="1" applyFill="1" applyBorder="1" applyAlignment="1">
      <alignment horizontal="left" vertical="center" wrapText="1"/>
    </xf>
    <xf numFmtId="0" fontId="31" fillId="12" borderId="44" xfId="0" applyFont="1" applyFill="1" applyBorder="1" applyAlignment="1">
      <alignment horizontal="left" vertical="center" wrapText="1"/>
    </xf>
    <xf numFmtId="0" fontId="3" fillId="0" borderId="59" xfId="0" applyFont="1" applyBorder="1"/>
    <xf numFmtId="0" fontId="37" fillId="12" borderId="47" xfId="0" applyFont="1" applyFill="1" applyBorder="1" applyAlignment="1">
      <alignment horizontal="center" vertical="center" wrapText="1"/>
    </xf>
    <xf numFmtId="0" fontId="3" fillId="0" borderId="3" xfId="0" applyFont="1" applyBorder="1"/>
    <xf numFmtId="0" fontId="3" fillId="0" borderId="34" xfId="0" applyFont="1" applyBorder="1"/>
    <xf numFmtId="0" fontId="0" fillId="0" borderId="0" xfId="0"/>
    <xf numFmtId="0" fontId="3" fillId="0" borderId="60" xfId="0" applyFont="1" applyBorder="1"/>
    <xf numFmtId="0" fontId="3" fillId="0" borderId="61" xfId="0" applyFont="1" applyBorder="1"/>
    <xf numFmtId="0" fontId="37" fillId="12" borderId="43" xfId="0" applyFont="1" applyFill="1" applyBorder="1" applyAlignment="1">
      <alignment horizontal="center" vertical="center" wrapText="1"/>
    </xf>
    <xf numFmtId="0" fontId="47" fillId="3" borderId="71" xfId="0" applyFont="1" applyFill="1" applyBorder="1" applyAlignment="1">
      <alignment horizontal="center" vertical="center"/>
    </xf>
    <xf numFmtId="0" fontId="3" fillId="0" borderId="72" xfId="0" applyFont="1" applyBorder="1"/>
    <xf numFmtId="0" fontId="3" fillId="0" borderId="73" xfId="0" applyFont="1" applyBorder="1"/>
    <xf numFmtId="0" fontId="37" fillId="14" borderId="69" xfId="0" applyFont="1" applyFill="1" applyBorder="1" applyAlignment="1">
      <alignment horizontal="center" vertical="center" wrapText="1"/>
    </xf>
    <xf numFmtId="0" fontId="3" fillId="0" borderId="68" xfId="0" applyFont="1" applyBorder="1"/>
    <xf numFmtId="0" fontId="3" fillId="0" borderId="74" xfId="0" applyFont="1" applyBorder="1"/>
    <xf numFmtId="0" fontId="47" fillId="0" borderId="47" xfId="0" applyFont="1" applyBorder="1" applyAlignment="1">
      <alignment horizontal="center" vertical="center"/>
    </xf>
    <xf numFmtId="0" fontId="3" fillId="0" borderId="36" xfId="0" applyFont="1" applyBorder="1"/>
    <xf numFmtId="0" fontId="3" fillId="0" borderId="37" xfId="0" applyFont="1" applyBorder="1"/>
    <xf numFmtId="0" fontId="3" fillId="0" borderId="41" xfId="0" applyFont="1" applyBorder="1"/>
    <xf numFmtId="0" fontId="32" fillId="0" borderId="29" xfId="0" applyFont="1" applyBorder="1" applyAlignment="1">
      <alignment horizontal="right" vertical="center"/>
    </xf>
    <xf numFmtId="0" fontId="1" fillId="0" borderId="1" xfId="0" applyFont="1" applyBorder="1" applyAlignment="1">
      <alignment horizontal="right"/>
    </xf>
    <xf numFmtId="0" fontId="3" fillId="0" borderId="80" xfId="0" applyFont="1" applyBorder="1"/>
    <xf numFmtId="0" fontId="3" fillId="0" borderId="4" xfId="0" applyFont="1" applyBorder="1"/>
    <xf numFmtId="0" fontId="32" fillId="0" borderId="76" xfId="0" applyFont="1" applyBorder="1" applyAlignment="1">
      <alignment horizontal="right" vertical="center"/>
    </xf>
    <xf numFmtId="0" fontId="3" fillId="0" borderId="77" xfId="0" applyFont="1" applyBorder="1"/>
    <xf numFmtId="0" fontId="3" fillId="0" borderId="78" xfId="0" applyFont="1" applyBorder="1"/>
    <xf numFmtId="0" fontId="3" fillId="0" borderId="67" xfId="0" applyFont="1" applyBorder="1"/>
    <xf numFmtId="165" fontId="32" fillId="0" borderId="29" xfId="0" applyNumberFormat="1" applyFont="1" applyBorder="1" applyAlignment="1">
      <alignment horizontal="center" vertical="center"/>
    </xf>
    <xf numFmtId="0" fontId="32" fillId="0" borderId="1" xfId="0" applyFont="1" applyBorder="1" applyAlignment="1">
      <alignment horizontal="center" vertical="center" wrapText="1"/>
    </xf>
    <xf numFmtId="0" fontId="1" fillId="0" borderId="1" xfId="0" applyFont="1" applyBorder="1" applyAlignment="1">
      <alignment horizontal="center"/>
    </xf>
    <xf numFmtId="0" fontId="27" fillId="0" borderId="1" xfId="0" applyFont="1" applyBorder="1" applyAlignment="1">
      <alignment horizontal="center" vertical="center"/>
    </xf>
    <xf numFmtId="0" fontId="28" fillId="0" borderId="34" xfId="0" applyFont="1" applyBorder="1" applyAlignment="1">
      <alignment horizontal="center" vertical="center" wrapText="1"/>
    </xf>
    <xf numFmtId="0" fontId="3" fillId="0" borderId="35" xfId="0" applyFont="1" applyBorder="1"/>
    <xf numFmtId="0" fontId="28" fillId="0" borderId="36" xfId="0" applyFont="1" applyBorder="1" applyAlignment="1">
      <alignment horizontal="center" vertical="center" wrapText="1"/>
    </xf>
    <xf numFmtId="0" fontId="3" fillId="0" borderId="38" xfId="0" applyFont="1" applyBorder="1"/>
    <xf numFmtId="165" fontId="27" fillId="0" borderId="36" xfId="0" applyNumberFormat="1" applyFont="1" applyBorder="1" applyAlignment="1">
      <alignment horizontal="center" vertical="center"/>
    </xf>
    <xf numFmtId="0" fontId="30" fillId="4" borderId="42" xfId="0" applyFont="1" applyFill="1" applyBorder="1" applyAlignment="1">
      <alignment horizontal="center" vertical="center" wrapText="1"/>
    </xf>
    <xf numFmtId="0" fontId="3" fillId="0" borderId="40" xfId="0" applyFont="1" applyBorder="1"/>
    <xf numFmtId="164" fontId="27" fillId="0" borderId="0" xfId="0" applyNumberFormat="1" applyFont="1" applyAlignment="1">
      <alignment horizontal="center" vertical="center"/>
    </xf>
    <xf numFmtId="0" fontId="30" fillId="4" borderId="39" xfId="0" applyFont="1" applyFill="1" applyBorder="1" applyAlignment="1">
      <alignment horizontal="center" vertical="center" wrapText="1"/>
    </xf>
    <xf numFmtId="0" fontId="31" fillId="0" borderId="43" xfId="0" applyFont="1" applyBorder="1" applyAlignment="1">
      <alignment horizontal="right" vertical="center" wrapText="1"/>
    </xf>
    <xf numFmtId="165" fontId="31" fillId="0" borderId="20" xfId="0" applyNumberFormat="1" applyFont="1" applyBorder="1" applyAlignment="1">
      <alignment horizontal="left" vertical="center" wrapText="1"/>
    </xf>
    <xf numFmtId="0" fontId="31" fillId="0" borderId="2" xfId="0" applyFont="1" applyBorder="1" applyAlignment="1">
      <alignment horizontal="right" vertical="center" wrapText="1"/>
    </xf>
    <xf numFmtId="0" fontId="32" fillId="14" borderId="44" xfId="0" applyFont="1" applyFill="1" applyBorder="1" applyAlignment="1">
      <alignment horizontal="right" vertical="center"/>
    </xf>
    <xf numFmtId="165" fontId="1" fillId="0" borderId="29" xfId="0" applyNumberFormat="1" applyFont="1" applyBorder="1"/>
    <xf numFmtId="165" fontId="31" fillId="0" borderId="29" xfId="0" applyNumberFormat="1" applyFont="1" applyBorder="1" applyAlignment="1">
      <alignment horizontal="left" vertical="center" wrapText="1"/>
    </xf>
    <xf numFmtId="165" fontId="31" fillId="0" borderId="1" xfId="0" applyNumberFormat="1" applyFont="1" applyBorder="1" applyAlignment="1">
      <alignment horizontal="left" vertical="center" wrapText="1"/>
    </xf>
    <xf numFmtId="0" fontId="32" fillId="14" borderId="43" xfId="0" applyFont="1" applyFill="1" applyBorder="1" applyAlignment="1">
      <alignment horizontal="right" vertical="center"/>
    </xf>
    <xf numFmtId="0" fontId="32" fillId="14" borderId="47" xfId="0" applyFont="1" applyFill="1" applyBorder="1" applyAlignment="1">
      <alignment horizontal="center" vertical="center" wrapText="1"/>
    </xf>
    <xf numFmtId="0" fontId="3" fillId="0" borderId="49" xfId="0" applyFont="1" applyBorder="1"/>
    <xf numFmtId="0" fontId="3" fillId="0" borderId="50" xfId="0" applyFont="1" applyBorder="1"/>
    <xf numFmtId="165" fontId="33" fillId="0" borderId="29" xfId="0" applyNumberFormat="1" applyFont="1" applyBorder="1" applyAlignment="1">
      <alignment horizontal="left" vertical="center" wrapText="1"/>
    </xf>
    <xf numFmtId="0" fontId="31" fillId="14" borderId="29" xfId="0" applyFont="1" applyFill="1" applyBorder="1" applyAlignment="1">
      <alignment horizontal="right" vertical="center" wrapText="1"/>
    </xf>
    <xf numFmtId="0" fontId="34" fillId="15" borderId="29" xfId="0" applyFont="1" applyFill="1" applyBorder="1" applyAlignment="1">
      <alignment horizontal="left" vertical="center" wrapText="1"/>
    </xf>
    <xf numFmtId="0" fontId="3" fillId="0" borderId="46" xfId="0" applyFont="1" applyBorder="1"/>
    <xf numFmtId="0" fontId="35" fillId="0" borderId="48" xfId="0" applyFont="1" applyBorder="1" applyAlignment="1">
      <alignment horizontal="center" vertical="center" wrapText="1"/>
    </xf>
    <xf numFmtId="0" fontId="3" fillId="0" borderId="52" xfId="0" applyFont="1" applyBorder="1"/>
    <xf numFmtId="0" fontId="34" fillId="12" borderId="57" xfId="0" applyFont="1" applyFill="1" applyBorder="1" applyAlignment="1">
      <alignment horizontal="left" vertical="center" wrapText="1"/>
    </xf>
    <xf numFmtId="0" fontId="3" fillId="0" borderId="58" xfId="0" applyFont="1" applyBorder="1"/>
    <xf numFmtId="0" fontId="34" fillId="0" borderId="4" xfId="0" applyFont="1" applyBorder="1" applyAlignment="1">
      <alignment horizontal="left" vertical="center" wrapText="1"/>
    </xf>
    <xf numFmtId="0" fontId="3" fillId="0" borderId="62" xfId="0" applyFont="1" applyBorder="1"/>
    <xf numFmtId="0" fontId="38" fillId="0" borderId="29" xfId="0" applyFont="1" applyBorder="1" applyAlignment="1">
      <alignment horizontal="center" vertical="center" wrapText="1"/>
    </xf>
    <xf numFmtId="0" fontId="39" fillId="0" borderId="43" xfId="0" applyFont="1" applyBorder="1" applyAlignment="1">
      <alignment horizontal="center" vertical="center"/>
    </xf>
    <xf numFmtId="49" fontId="40" fillId="16" borderId="29" xfId="0" applyNumberFormat="1" applyFont="1" applyFill="1" applyBorder="1" applyAlignment="1">
      <alignment horizontal="center" vertical="center"/>
    </xf>
    <xf numFmtId="0" fontId="36" fillId="12" borderId="9" xfId="0" applyFont="1" applyFill="1" applyBorder="1" applyAlignment="1">
      <alignment horizontal="left" vertical="center" wrapText="1"/>
    </xf>
    <xf numFmtId="0" fontId="3" fillId="0" borderId="55" xfId="0" applyFont="1" applyBorder="1"/>
    <xf numFmtId="49" fontId="50" fillId="3" borderId="13" xfId="1" applyNumberFormat="1" applyFill="1" applyBorder="1" applyAlignment="1">
      <alignment horizontal="left" vertical="center" wrapText="1"/>
    </xf>
    <xf numFmtId="49" fontId="21" fillId="11" borderId="33" xfId="0" applyNumberFormat="1" applyFont="1" applyFill="1" applyBorder="1" applyAlignment="1">
      <alignment horizontal="left" vertical="center" wrapText="1"/>
    </xf>
    <xf numFmtId="49" fontId="21" fillId="11" borderId="60" xfId="0" applyNumberFormat="1" applyFont="1" applyFill="1" applyBorder="1" applyAlignment="1">
      <alignment horizontal="left" vertical="center" wrapText="1"/>
    </xf>
  </cellXfs>
  <cellStyles count="2">
    <cellStyle name="Hipervínculo" xfId="1" builtinId="8"/>
    <cellStyle name="Normal" xfId="0" builtinId="0"/>
  </cellStyles>
  <dxfs count="9">
    <dxf>
      <fill>
        <patternFill patternType="solid">
          <fgColor rgb="FF92D050"/>
          <bgColor rgb="FF92D050"/>
        </patternFill>
      </fill>
    </dxf>
    <dxf>
      <font>
        <color theme="0"/>
      </font>
      <fill>
        <patternFill patternType="solid">
          <fgColor rgb="FFFF0000"/>
          <bgColor rgb="FFFF0000"/>
        </patternFill>
      </fill>
    </dxf>
    <dxf>
      <font>
        <color theme="0"/>
      </font>
      <fill>
        <patternFill patternType="none"/>
      </fill>
    </dxf>
    <dxf>
      <font>
        <color theme="0"/>
      </font>
      <fill>
        <patternFill patternType="none"/>
      </fill>
    </dxf>
    <dxf>
      <fill>
        <patternFill patternType="solid">
          <fgColor theme="1"/>
          <bgColor theme="1"/>
        </patternFill>
      </fill>
    </dxf>
    <dxf>
      <fill>
        <patternFill patternType="solid">
          <fgColor theme="1"/>
          <bgColor theme="1"/>
        </patternFill>
      </fill>
    </dxf>
    <dxf>
      <font>
        <color rgb="FF833C0B"/>
      </font>
      <fill>
        <patternFill patternType="solid">
          <fgColor rgb="FFFEF2CB"/>
          <bgColor rgb="FFFEF2CB"/>
        </patternFill>
      </fill>
      <border>
        <left style="thin">
          <color rgb="FF000000"/>
        </left>
        <right style="thin">
          <color rgb="FF000000"/>
        </right>
        <top style="thin">
          <color rgb="FF000000"/>
        </top>
        <bottom style="thin">
          <color rgb="FF000000"/>
        </bottom>
      </border>
    </dxf>
    <dxf>
      <font>
        <color rgb="FF833C0B"/>
      </font>
      <fill>
        <patternFill patternType="solid">
          <fgColor rgb="FFFEF2CB"/>
          <bgColor rgb="FFFEF2CB"/>
        </patternFill>
      </fill>
      <border>
        <left style="thin">
          <color rgb="FF000000"/>
        </left>
        <right style="thin">
          <color rgb="FF000000"/>
        </right>
        <top style="thin">
          <color rgb="FF000000"/>
        </top>
        <bottom style="thin">
          <color rgb="FF000000"/>
        </bottom>
      </border>
    </dxf>
    <dxf>
      <font>
        <color rgb="FF833C0B"/>
      </font>
      <fill>
        <patternFill patternType="solid">
          <fgColor rgb="FFFEF2CB"/>
          <bgColor rgb="FFFEF2CB"/>
        </patternFill>
      </fill>
      <border>
        <left style="thin">
          <color rgb="FF000000"/>
        </left>
        <right style="thin">
          <color rgb="FF000000"/>
        </right>
        <top style="thin">
          <color rgb="FF000000"/>
        </top>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oneCellAnchor>
    <xdr:from>
      <xdr:col>0</xdr:col>
      <xdr:colOff>200025</xdr:colOff>
      <xdr:row>0</xdr:row>
      <xdr:rowOff>0</xdr:rowOff>
    </xdr:from>
    <xdr:ext cx="819150" cy="342900"/>
    <xdr:pic>
      <xdr:nvPicPr>
        <xdr:cNvPr id="2" name="image2.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453390</xdr:colOff>
      <xdr:row>44</xdr:row>
      <xdr:rowOff>83820</xdr:rowOff>
    </xdr:from>
    <xdr:ext cx="2038350" cy="742950"/>
    <xdr:pic>
      <xdr:nvPicPr>
        <xdr:cNvPr id="3" name="image1.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xfrm>
          <a:off x="453390" y="9471660"/>
          <a:ext cx="2038350" cy="7429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533400</xdr:colOff>
      <xdr:row>0</xdr:row>
      <xdr:rowOff>9525</xdr:rowOff>
    </xdr:from>
    <xdr:ext cx="1019175" cy="504825"/>
    <xdr:pic>
      <xdr:nvPicPr>
        <xdr:cNvPr id="2" name="image3.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95250</xdr:colOff>
      <xdr:row>48</xdr:row>
      <xdr:rowOff>76200</xdr:rowOff>
    </xdr:from>
    <xdr:ext cx="3162300" cy="1162050"/>
    <xdr:pic>
      <xdr:nvPicPr>
        <xdr:cNvPr id="3" name="image4.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emanuel@bidcom.com.ar"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mailto:emanuel@bidcom.com.ar" TargetMode="External"/><Relationship Id="rId1" Type="http://schemas.openxmlformats.org/officeDocument/2006/relationships/hyperlink" Target="mailto:emanuel@bidcom.com.a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1000"/>
  <sheetViews>
    <sheetView workbookViewId="0">
      <selection activeCell="D3" sqref="D3"/>
    </sheetView>
  </sheetViews>
  <sheetFormatPr baseColWidth="10" defaultColWidth="14.44140625" defaultRowHeight="15" customHeight="1"/>
  <cols>
    <col min="1" max="4" width="22.5546875" customWidth="1"/>
    <col min="5" max="5" width="28.44140625" hidden="1" customWidth="1"/>
    <col min="6" max="6" width="31.109375" hidden="1" customWidth="1"/>
    <col min="7" max="26" width="10.6640625" customWidth="1"/>
  </cols>
  <sheetData>
    <row r="1" spans="1:4" ht="18">
      <c r="A1" s="1"/>
      <c r="B1" s="71" t="s">
        <v>0</v>
      </c>
      <c r="C1" s="72"/>
      <c r="D1" s="2" t="s">
        <v>1</v>
      </c>
    </row>
    <row r="2" spans="1:4" ht="14.4">
      <c r="A2" s="3"/>
      <c r="B2" s="73" t="str">
        <f ca="1">MID(CELL("nombrearchivo",A4),FIND("]",CELL("nombrearchivo",A46))+1,31)</f>
        <v>Datos generales</v>
      </c>
      <c r="C2" s="74"/>
      <c r="D2" s="4" t="s">
        <v>2</v>
      </c>
    </row>
    <row r="3" spans="1:4" ht="29.25" customHeight="1">
      <c r="A3" s="5" t="s">
        <v>3</v>
      </c>
      <c r="B3" s="6"/>
      <c r="C3" s="5" t="s">
        <v>4</v>
      </c>
      <c r="D3" s="7"/>
    </row>
    <row r="4" spans="1:4" ht="14.4">
      <c r="A4" s="75" t="s">
        <v>5</v>
      </c>
      <c r="B4" s="76"/>
      <c r="C4" s="76"/>
      <c r="D4" s="77"/>
    </row>
    <row r="5" spans="1:4" ht="15" customHeight="1">
      <c r="A5" s="8" t="s">
        <v>167</v>
      </c>
      <c r="B5" s="78" t="s">
        <v>41</v>
      </c>
      <c r="C5" s="79"/>
      <c r="D5" s="80"/>
    </row>
    <row r="6" spans="1:4" ht="15" customHeight="1">
      <c r="A6" s="8" t="s">
        <v>168</v>
      </c>
      <c r="B6" s="78" t="s">
        <v>43</v>
      </c>
      <c r="C6" s="79"/>
      <c r="D6" s="80"/>
    </row>
    <row r="7" spans="1:4" ht="14.4">
      <c r="A7" s="8" t="s">
        <v>169</v>
      </c>
      <c r="B7" s="181" t="s">
        <v>170</v>
      </c>
      <c r="C7" s="79"/>
      <c r="D7" s="80"/>
    </row>
    <row r="8" spans="1:4" ht="14.4">
      <c r="A8" s="8" t="s">
        <v>172</v>
      </c>
      <c r="B8" s="78" t="s">
        <v>171</v>
      </c>
      <c r="C8" s="79"/>
      <c r="D8" s="80"/>
    </row>
    <row r="9" spans="1:4" ht="14.4">
      <c r="A9" s="9" t="s">
        <v>173</v>
      </c>
      <c r="B9" s="81" t="s">
        <v>174</v>
      </c>
      <c r="C9" s="82"/>
      <c r="D9" s="83"/>
    </row>
    <row r="10" spans="1:4" ht="16.5" customHeight="1">
      <c r="A10" s="84" t="s">
        <v>10</v>
      </c>
      <c r="B10" s="85"/>
      <c r="C10" s="85"/>
      <c r="D10" s="10"/>
    </row>
    <row r="11" spans="1:4" ht="14.4">
      <c r="A11" s="86" t="s">
        <v>11</v>
      </c>
      <c r="B11" s="76"/>
      <c r="C11" s="76"/>
      <c r="D11" s="77"/>
    </row>
    <row r="12" spans="1:4" ht="14.4">
      <c r="A12" s="11" t="s">
        <v>12</v>
      </c>
      <c r="B12" s="87"/>
      <c r="C12" s="79"/>
      <c r="D12" s="80"/>
    </row>
    <row r="13" spans="1:4" ht="14.4">
      <c r="A13" s="11" t="s">
        <v>6</v>
      </c>
      <c r="B13" s="88"/>
      <c r="C13" s="79"/>
      <c r="D13" s="80"/>
    </row>
    <row r="14" spans="1:4" ht="14.4">
      <c r="A14" s="11" t="s">
        <v>7</v>
      </c>
      <c r="B14" s="88"/>
      <c r="C14" s="79"/>
      <c r="D14" s="80"/>
    </row>
    <row r="15" spans="1:4" ht="14.4">
      <c r="A15" s="11" t="s">
        <v>8</v>
      </c>
      <c r="B15" s="88"/>
      <c r="C15" s="79"/>
      <c r="D15" s="80"/>
    </row>
    <row r="16" spans="1:4" ht="14.4">
      <c r="A16" s="11" t="s">
        <v>13</v>
      </c>
      <c r="B16" s="12"/>
      <c r="C16" s="13" t="s">
        <v>14</v>
      </c>
      <c r="D16" s="14"/>
    </row>
    <row r="17" spans="1:8" ht="14.4">
      <c r="A17" s="15" t="s">
        <v>9</v>
      </c>
      <c r="B17" s="89"/>
      <c r="C17" s="82"/>
      <c r="D17" s="83"/>
    </row>
    <row r="18" spans="1:8" ht="6.75" customHeight="1">
      <c r="A18" s="16"/>
      <c r="B18" s="10"/>
      <c r="C18" s="10"/>
      <c r="D18" s="10"/>
      <c r="E18" s="17" t="b">
        <v>0</v>
      </c>
    </row>
    <row r="19" spans="1:8" ht="14.4">
      <c r="A19" s="90" t="s">
        <v>15</v>
      </c>
      <c r="B19" s="77"/>
      <c r="C19" s="91" t="s">
        <v>16</v>
      </c>
      <c r="D19" s="77"/>
    </row>
    <row r="20" spans="1:8" ht="18" customHeight="1">
      <c r="A20" s="92"/>
      <c r="B20" s="93"/>
      <c r="C20" s="92" t="s">
        <v>17</v>
      </c>
      <c r="D20" s="93"/>
      <c r="E20" s="18">
        <v>8</v>
      </c>
      <c r="F20" s="19" t="str">
        <f>VLOOKUP(E20,DATOS!C15:D29,2,0)</f>
        <v>Ftalatos</v>
      </c>
    </row>
    <row r="21" spans="1:8" ht="15.75" customHeight="1">
      <c r="A21" s="94" t="s">
        <v>18</v>
      </c>
      <c r="B21" s="77"/>
      <c r="C21" s="95" t="s">
        <v>19</v>
      </c>
      <c r="D21" s="77"/>
    </row>
    <row r="22" spans="1:8" ht="18.75" customHeight="1">
      <c r="A22" s="96" t="s">
        <v>20</v>
      </c>
      <c r="B22" s="83"/>
      <c r="C22" s="97" t="str">
        <f>IF(DATOS!A34=1, "N/A",F22)</f>
        <v>Resolución 583/2008</v>
      </c>
      <c r="D22" s="83"/>
      <c r="E22" s="18">
        <f>IF(OR(F20="Juguetes",A22="Marca (Sistema 5)"),5,0)</f>
        <v>0</v>
      </c>
      <c r="F22" s="19" t="str">
        <f>VLOOKUP(F20,DATOS!D15:E29,2,0)</f>
        <v>Resolución 583/2008</v>
      </c>
    </row>
    <row r="23" spans="1:8" ht="6" customHeight="1">
      <c r="A23" s="10"/>
      <c r="B23" s="10"/>
      <c r="C23" s="10"/>
      <c r="D23" s="10"/>
      <c r="H23" s="20"/>
    </row>
    <row r="24" spans="1:8" ht="30" customHeight="1">
      <c r="A24" s="21" t="s">
        <v>21</v>
      </c>
      <c r="B24" s="98" t="s">
        <v>22</v>
      </c>
      <c r="C24" s="99"/>
      <c r="D24" s="100"/>
    </row>
    <row r="25" spans="1:8" ht="30" customHeight="1">
      <c r="A25" s="21" t="s">
        <v>23</v>
      </c>
      <c r="B25" s="101" t="s">
        <v>24</v>
      </c>
      <c r="C25" s="85"/>
      <c r="D25" s="102"/>
    </row>
    <row r="26" spans="1:8" ht="47.25" customHeight="1">
      <c r="A26" s="103" t="s">
        <v>25</v>
      </c>
      <c r="B26" s="85"/>
      <c r="C26" s="85"/>
      <c r="D26" s="102"/>
    </row>
    <row r="27" spans="1:8" ht="15.75" customHeight="1">
      <c r="A27" s="104" t="s">
        <v>26</v>
      </c>
      <c r="B27" s="76"/>
      <c r="C27" s="76"/>
      <c r="D27" s="77"/>
    </row>
    <row r="28" spans="1:8" ht="15.75" customHeight="1">
      <c r="A28" s="22" t="s">
        <v>175</v>
      </c>
      <c r="B28" s="182" t="s">
        <v>41</v>
      </c>
      <c r="C28" s="182"/>
      <c r="D28" s="183"/>
    </row>
    <row r="29" spans="1:8" ht="15.75" customHeight="1">
      <c r="A29" s="23" t="s">
        <v>27</v>
      </c>
      <c r="B29" s="182"/>
      <c r="C29" s="182"/>
      <c r="D29" s="183"/>
    </row>
    <row r="30" spans="1:8" ht="15.75" customHeight="1">
      <c r="A30" s="22" t="s">
        <v>28</v>
      </c>
      <c r="B30" s="105"/>
      <c r="C30" s="79"/>
      <c r="D30" s="80"/>
    </row>
    <row r="31" spans="1:8" ht="15.75" customHeight="1">
      <c r="A31" s="24" t="s">
        <v>29</v>
      </c>
      <c r="B31" s="25"/>
      <c r="C31" s="26" t="s">
        <v>30</v>
      </c>
      <c r="D31" s="27"/>
    </row>
    <row r="32" spans="1:8" ht="3.75" customHeight="1"/>
    <row r="33" spans="1:4" ht="15.75" customHeight="1">
      <c r="A33" s="104" t="s">
        <v>31</v>
      </c>
      <c r="B33" s="76"/>
      <c r="C33" s="76"/>
      <c r="D33" s="77"/>
    </row>
    <row r="34" spans="1:4" ht="14.25" customHeight="1">
      <c r="A34" s="22" t="s">
        <v>175</v>
      </c>
      <c r="B34" s="105"/>
      <c r="C34" s="79"/>
      <c r="D34" s="80"/>
    </row>
    <row r="35" spans="1:4" ht="34.5" customHeight="1">
      <c r="A35" s="23" t="s">
        <v>27</v>
      </c>
      <c r="B35" s="105"/>
      <c r="C35" s="79"/>
      <c r="D35" s="80"/>
    </row>
    <row r="36" spans="1:4" ht="15.75" customHeight="1">
      <c r="A36" s="22" t="s">
        <v>176</v>
      </c>
      <c r="B36" s="105"/>
      <c r="C36" s="79"/>
      <c r="D36" s="80"/>
    </row>
    <row r="37" spans="1:4" ht="15.75" customHeight="1">
      <c r="A37" s="28" t="s">
        <v>177</v>
      </c>
      <c r="B37" s="105"/>
      <c r="C37" s="79"/>
      <c r="D37" s="80"/>
    </row>
    <row r="38" spans="1:4" ht="15.75" customHeight="1">
      <c r="A38" s="28" t="s">
        <v>178</v>
      </c>
      <c r="B38" s="105"/>
      <c r="C38" s="79"/>
      <c r="D38" s="80"/>
    </row>
    <row r="39" spans="1:4" ht="5.25" customHeight="1"/>
    <row r="40" spans="1:4" ht="30" customHeight="1">
      <c r="A40" s="106" t="s">
        <v>32</v>
      </c>
      <c r="B40" s="107"/>
      <c r="C40" s="106"/>
      <c r="D40" s="107"/>
    </row>
    <row r="41" spans="1:4" ht="5.25" customHeight="1"/>
    <row r="42" spans="1:4" ht="5.25" customHeight="1"/>
    <row r="43" spans="1:4" ht="17.25" customHeight="1">
      <c r="A43" s="108" t="s">
        <v>33</v>
      </c>
      <c r="B43" s="85"/>
      <c r="C43" s="85"/>
      <c r="D43" s="102"/>
    </row>
    <row r="44" spans="1:4" ht="34.5" customHeight="1">
      <c r="A44" s="109" t="s">
        <v>34</v>
      </c>
      <c r="B44" s="102"/>
      <c r="C44" s="109" t="s">
        <v>35</v>
      </c>
      <c r="D44" s="102"/>
    </row>
    <row r="45" spans="1:4" ht="78" customHeight="1">
      <c r="A45" s="110"/>
      <c r="B45" s="102"/>
      <c r="C45" s="111"/>
      <c r="D45" s="102"/>
    </row>
    <row r="46" spans="1:4" ht="15.75" customHeight="1">
      <c r="A46" s="29" t="str">
        <f ca="1">CELL("nombrearchivo")</f>
        <v>Z:\Documentos\Proyectos Fede\Argos_Bidcom\Argos Final\Juguetes Ft\[SOLICITUD FTALATOS SISTEMA NUEVO PCE-04-FVII V1R2 (1).xlsx]Datos generales</v>
      </c>
    </row>
    <row r="47" spans="1:4" ht="15.75" customHeight="1">
      <c r="A47" s="30"/>
    </row>
    <row r="48" spans="1:4"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3">
    <mergeCell ref="A43:D43"/>
    <mergeCell ref="A44:B44"/>
    <mergeCell ref="C44:D44"/>
    <mergeCell ref="A45:B45"/>
    <mergeCell ref="C45:D45"/>
    <mergeCell ref="A27:D27"/>
    <mergeCell ref="B28:D28"/>
    <mergeCell ref="B38:D38"/>
    <mergeCell ref="A40:B40"/>
    <mergeCell ref="C40:D40"/>
    <mergeCell ref="B29:D29"/>
    <mergeCell ref="B30:D30"/>
    <mergeCell ref="A33:D33"/>
    <mergeCell ref="B34:D34"/>
    <mergeCell ref="B35:D35"/>
    <mergeCell ref="B36:D36"/>
    <mergeCell ref="B37:D37"/>
    <mergeCell ref="A22:B22"/>
    <mergeCell ref="C22:D22"/>
    <mergeCell ref="B24:D24"/>
    <mergeCell ref="B25:D25"/>
    <mergeCell ref="A26:D26"/>
    <mergeCell ref="A19:B19"/>
    <mergeCell ref="C19:D19"/>
    <mergeCell ref="A20:B20"/>
    <mergeCell ref="C20:D20"/>
    <mergeCell ref="A21:B21"/>
    <mergeCell ref="C21:D21"/>
    <mergeCell ref="B12:D12"/>
    <mergeCell ref="B13:D13"/>
    <mergeCell ref="B14:D14"/>
    <mergeCell ref="B15:D15"/>
    <mergeCell ref="B17:D17"/>
    <mergeCell ref="B7:D7"/>
    <mergeCell ref="B8:D8"/>
    <mergeCell ref="B9:D9"/>
    <mergeCell ref="A10:C10"/>
    <mergeCell ref="A11:D11"/>
    <mergeCell ref="B1:C1"/>
    <mergeCell ref="B2:C2"/>
    <mergeCell ref="A4:D4"/>
    <mergeCell ref="B5:D5"/>
    <mergeCell ref="B6:D6"/>
  </mergeCells>
  <conditionalFormatting sqref="A40:D40">
    <cfRule type="expression" dxfId="8" priority="2" stopIfTrue="1">
      <formula>$E$20=8</formula>
    </cfRule>
    <cfRule type="expression" dxfId="7" priority="3" stopIfTrue="1">
      <formula>$E$20=5</formula>
    </cfRule>
    <cfRule type="expression" dxfId="6" priority="4" stopIfTrue="1">
      <formula>$E$20=3</formula>
    </cfRule>
  </conditionalFormatting>
  <conditionalFormatting sqref="B12:D15">
    <cfRule type="expression" dxfId="5" priority="5" stopIfTrue="1">
      <formula>$E$18=TRUE</formula>
    </cfRule>
  </conditionalFormatting>
  <conditionalFormatting sqref="B17:D17">
    <cfRule type="expression" dxfId="4" priority="6" stopIfTrue="1">
      <formula>$E$18=TRUE</formula>
    </cfRule>
  </conditionalFormatting>
  <conditionalFormatting sqref="E22">
    <cfRule type="expression" dxfId="3" priority="1" stopIfTrue="1">
      <formula>$E$22="0"</formula>
    </cfRule>
  </conditionalFormatting>
  <dataValidations count="1">
    <dataValidation type="list" allowBlank="1" showErrorMessage="1" sqref="A22" xr:uid="{00000000-0002-0000-0000-000000000000}">
      <formula1>INDIRECT(F20)</formula1>
    </dataValidation>
  </dataValidations>
  <hyperlinks>
    <hyperlink ref="B7" r:id="rId1" xr:uid="{7B4183C4-A907-4933-9344-A77E88D79AD7}"/>
  </hyperlinks>
  <pageMargins left="0.70866141732283472" right="0.70866141732283472" top="0.74803149606299213" bottom="0.74803149606299213" header="0" footer="0"/>
  <pageSetup paperSize="9" orientation="portrait"/>
  <headerFooter>
    <oddFooter>&amp;R</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tabSelected="1" topLeftCell="A21" workbookViewId="0">
      <selection activeCell="C25" sqref="C25"/>
    </sheetView>
  </sheetViews>
  <sheetFormatPr baseColWidth="10" defaultColWidth="14.44140625" defaultRowHeight="15" customHeight="1"/>
  <cols>
    <col min="1" max="1" width="15.88671875" customWidth="1"/>
    <col min="2" max="2" width="14.88671875" customWidth="1"/>
    <col min="3" max="3" width="17.44140625" customWidth="1"/>
    <col min="4" max="4" width="17" customWidth="1"/>
    <col min="5" max="5" width="21.44140625" customWidth="1"/>
    <col min="6" max="6" width="19.88671875" customWidth="1"/>
    <col min="7" max="7" width="19" customWidth="1"/>
    <col min="8" max="8" width="17.44140625" customWidth="1"/>
    <col min="9" max="9" width="28" customWidth="1"/>
    <col min="10" max="10" width="20.5546875" customWidth="1"/>
    <col min="11" max="11" width="10.6640625" customWidth="1"/>
    <col min="12" max="12" width="18" customWidth="1"/>
    <col min="13" max="26" width="10.6640625" customWidth="1"/>
  </cols>
  <sheetData>
    <row r="1" spans="1:26" ht="22.5" customHeight="1">
      <c r="A1" s="144"/>
      <c r="B1" s="72"/>
      <c r="C1" s="145" t="s">
        <v>36</v>
      </c>
      <c r="D1" s="72"/>
      <c r="E1" s="72"/>
      <c r="F1" s="72"/>
      <c r="G1" s="72"/>
      <c r="H1" s="118"/>
      <c r="I1" s="2" t="str">
        <f>'Datos generales'!D1</f>
        <v>PCE-04 FVIII V1 R2</v>
      </c>
    </row>
    <row r="2" spans="1:26" ht="22.5" customHeight="1">
      <c r="A2" s="137"/>
      <c r="B2" s="74"/>
      <c r="C2" s="137"/>
      <c r="D2" s="74"/>
      <c r="E2" s="74"/>
      <c r="F2" s="74"/>
      <c r="G2" s="74"/>
      <c r="H2" s="93"/>
      <c r="I2" s="4" t="s">
        <v>37</v>
      </c>
    </row>
    <row r="3" spans="1:26" ht="28.5" customHeight="1">
      <c r="A3" s="146" t="s">
        <v>38</v>
      </c>
      <c r="B3" s="120"/>
      <c r="C3" s="120"/>
      <c r="D3" s="120"/>
      <c r="E3" s="120"/>
      <c r="F3" s="120"/>
      <c r="G3" s="120"/>
      <c r="H3" s="120"/>
      <c r="I3" s="147"/>
      <c r="J3" s="31"/>
      <c r="K3" s="31"/>
      <c r="L3" s="31"/>
      <c r="M3" s="31"/>
      <c r="N3" s="31"/>
      <c r="O3" s="31"/>
      <c r="P3" s="31"/>
      <c r="Q3" s="31"/>
      <c r="R3" s="31"/>
      <c r="S3" s="31"/>
      <c r="T3" s="31"/>
      <c r="U3" s="31"/>
      <c r="V3" s="31"/>
      <c r="W3" s="31"/>
      <c r="X3" s="31"/>
      <c r="Y3" s="31"/>
      <c r="Z3" s="31"/>
    </row>
    <row r="4" spans="1:26" ht="28.5" customHeight="1">
      <c r="A4" s="148" t="s">
        <v>39</v>
      </c>
      <c r="B4" s="132"/>
      <c r="C4" s="132"/>
      <c r="D4" s="132"/>
      <c r="E4" s="132"/>
      <c r="F4" s="132"/>
      <c r="G4" s="132"/>
      <c r="H4" s="132"/>
      <c r="I4" s="149"/>
      <c r="J4" s="31"/>
      <c r="K4" s="31"/>
      <c r="L4" s="31"/>
      <c r="M4" s="31"/>
      <c r="N4" s="31"/>
      <c r="O4" s="31"/>
      <c r="P4" s="31"/>
      <c r="Q4" s="31"/>
      <c r="R4" s="31"/>
      <c r="S4" s="31"/>
      <c r="T4" s="31"/>
      <c r="U4" s="31"/>
      <c r="V4" s="31"/>
      <c r="W4" s="31"/>
      <c r="X4" s="31"/>
      <c r="Y4" s="31"/>
      <c r="Z4" s="31"/>
    </row>
    <row r="5" spans="1:26" ht="36.75" customHeight="1">
      <c r="A5" s="154" t="s">
        <v>3</v>
      </c>
      <c r="B5" s="152"/>
      <c r="C5" s="150">
        <f>'Datos generales'!B3</f>
        <v>0</v>
      </c>
      <c r="D5" s="132"/>
      <c r="E5" s="133"/>
      <c r="F5" s="151" t="s">
        <v>4</v>
      </c>
      <c r="G5" s="152"/>
      <c r="H5" s="153">
        <f>'Datos generales'!D3</f>
        <v>0</v>
      </c>
      <c r="I5" s="147"/>
    </row>
    <row r="6" spans="1:26" ht="28.5" customHeight="1">
      <c r="A6" s="155" t="s">
        <v>40</v>
      </c>
      <c r="B6" s="85"/>
      <c r="C6" s="156" t="s">
        <v>41</v>
      </c>
      <c r="D6" s="85"/>
      <c r="E6" s="157" t="s">
        <v>42</v>
      </c>
      <c r="F6" s="72"/>
      <c r="G6" s="159" t="s">
        <v>43</v>
      </c>
      <c r="H6" s="85"/>
      <c r="I6" s="85"/>
      <c r="J6" s="85"/>
      <c r="K6" s="85"/>
      <c r="L6" s="85"/>
      <c r="M6" s="102"/>
      <c r="N6" s="31"/>
      <c r="O6" s="31"/>
      <c r="P6" s="31"/>
      <c r="Q6" s="31"/>
      <c r="R6" s="31"/>
      <c r="S6" s="31"/>
      <c r="T6" s="31"/>
      <c r="U6" s="31"/>
      <c r="V6" s="31"/>
      <c r="W6" s="31"/>
      <c r="X6" s="31"/>
      <c r="Y6" s="31"/>
      <c r="Z6" s="31"/>
    </row>
    <row r="7" spans="1:26" ht="28.5" customHeight="1">
      <c r="A7" s="158" t="s">
        <v>44</v>
      </c>
      <c r="B7" s="83"/>
      <c r="C7" s="159" t="s">
        <v>45</v>
      </c>
      <c r="D7" s="85"/>
      <c r="E7" s="85"/>
      <c r="F7" s="85"/>
      <c r="G7" s="85"/>
      <c r="H7" s="85"/>
      <c r="I7" s="102"/>
      <c r="J7" s="32"/>
      <c r="K7" s="32"/>
      <c r="L7" s="32"/>
      <c r="M7" s="33"/>
      <c r="N7" s="31"/>
      <c r="O7" s="31"/>
      <c r="P7" s="31"/>
      <c r="Q7" s="31"/>
      <c r="R7" s="31"/>
      <c r="S7" s="31"/>
      <c r="T7" s="31"/>
      <c r="U7" s="31"/>
      <c r="V7" s="31"/>
      <c r="W7" s="31"/>
      <c r="X7" s="31"/>
      <c r="Y7" s="31"/>
      <c r="Z7" s="31"/>
    </row>
    <row r="8" spans="1:26" ht="28.5" customHeight="1">
      <c r="A8" s="162" t="s">
        <v>30</v>
      </c>
      <c r="B8" s="102"/>
      <c r="C8" s="160" t="s">
        <v>46</v>
      </c>
      <c r="D8" s="102"/>
      <c r="E8" s="167" t="s">
        <v>28</v>
      </c>
      <c r="F8" s="102"/>
      <c r="G8" s="166" t="s">
        <v>47</v>
      </c>
      <c r="H8" s="102"/>
      <c r="I8" s="34"/>
      <c r="J8" s="31"/>
      <c r="K8" s="31"/>
      <c r="L8" s="35"/>
      <c r="M8" s="31"/>
      <c r="N8" s="31"/>
      <c r="O8" s="31"/>
      <c r="P8" s="31"/>
      <c r="Q8" s="31"/>
      <c r="R8" s="31"/>
      <c r="S8" s="31"/>
      <c r="T8" s="31"/>
      <c r="U8" s="31"/>
      <c r="V8" s="31"/>
      <c r="W8" s="31"/>
      <c r="X8" s="31"/>
      <c r="Y8" s="31"/>
      <c r="Z8" s="31"/>
    </row>
    <row r="9" spans="1:26" ht="28.5" customHeight="1">
      <c r="A9" s="162" t="s">
        <v>48</v>
      </c>
      <c r="B9" s="102"/>
      <c r="C9" s="160" t="str">
        <f>'Datos generales'!B25</f>
        <v>Lenor S.R.L.</v>
      </c>
      <c r="D9" s="102"/>
      <c r="E9" s="168" t="s">
        <v>49</v>
      </c>
      <c r="F9" s="85"/>
      <c r="G9" s="85"/>
      <c r="H9" s="85"/>
      <c r="I9" s="169"/>
      <c r="J9" s="31"/>
      <c r="K9" s="31"/>
      <c r="L9" s="31"/>
      <c r="M9" s="31"/>
      <c r="N9" s="31"/>
      <c r="O9" s="31"/>
      <c r="P9" s="31"/>
      <c r="Q9" s="31"/>
      <c r="R9" s="31"/>
      <c r="S9" s="31"/>
      <c r="T9" s="31"/>
      <c r="U9" s="31"/>
      <c r="V9" s="31"/>
      <c r="W9" s="31"/>
      <c r="X9" s="31"/>
      <c r="Y9" s="31"/>
      <c r="Z9" s="31"/>
    </row>
    <row r="10" spans="1:26" ht="28.5" customHeight="1">
      <c r="A10" s="163" t="s">
        <v>50</v>
      </c>
      <c r="B10" s="118"/>
      <c r="C10" s="36" t="s">
        <v>27</v>
      </c>
      <c r="D10" s="159" t="s">
        <v>43</v>
      </c>
      <c r="E10" s="102"/>
      <c r="F10" s="36" t="s">
        <v>30</v>
      </c>
      <c r="G10" s="160" t="s">
        <v>46</v>
      </c>
      <c r="H10" s="102"/>
      <c r="I10" s="170" t="s">
        <v>51</v>
      </c>
      <c r="J10" s="31"/>
      <c r="K10" s="31"/>
      <c r="L10" s="31"/>
      <c r="M10" s="31"/>
      <c r="N10" s="31"/>
      <c r="O10" s="31"/>
      <c r="P10" s="31"/>
      <c r="Q10" s="31"/>
      <c r="R10" s="31"/>
      <c r="S10" s="31"/>
      <c r="T10" s="31"/>
      <c r="U10" s="31"/>
      <c r="V10" s="31"/>
      <c r="W10" s="31"/>
      <c r="X10" s="31"/>
      <c r="Y10" s="31"/>
      <c r="Z10" s="31"/>
    </row>
    <row r="11" spans="1:26" ht="28.5" customHeight="1">
      <c r="A11" s="164"/>
      <c r="B11" s="165"/>
      <c r="C11" s="37" t="s">
        <v>28</v>
      </c>
      <c r="D11" s="166" t="s">
        <v>47</v>
      </c>
      <c r="E11" s="102"/>
      <c r="F11" s="37" t="s">
        <v>44</v>
      </c>
      <c r="G11" s="161" t="s">
        <v>45</v>
      </c>
      <c r="H11" s="118"/>
      <c r="I11" s="171"/>
      <c r="J11" s="31"/>
      <c r="K11" s="31"/>
      <c r="L11" s="31"/>
      <c r="M11" s="31"/>
      <c r="N11" s="31"/>
      <c r="O11" s="31"/>
      <c r="P11" s="31"/>
      <c r="Q11" s="31"/>
      <c r="R11" s="31"/>
      <c r="S11" s="31"/>
      <c r="T11" s="31"/>
      <c r="U11" s="31"/>
      <c r="V11" s="31"/>
      <c r="W11" s="31"/>
      <c r="X11" s="31"/>
      <c r="Y11" s="31"/>
      <c r="Z11" s="31"/>
    </row>
    <row r="12" spans="1:26" ht="16.5" customHeight="1">
      <c r="A12" s="112" t="s">
        <v>52</v>
      </c>
      <c r="B12" s="76"/>
      <c r="C12" s="76"/>
      <c r="D12" s="113"/>
      <c r="E12" s="179" t="s">
        <v>53</v>
      </c>
      <c r="F12" s="76"/>
      <c r="G12" s="76"/>
      <c r="H12" s="76"/>
      <c r="I12" s="180"/>
    </row>
    <row r="13" spans="1:26" ht="16.5" customHeight="1">
      <c r="A13" s="114" t="s">
        <v>54</v>
      </c>
      <c r="B13" s="79"/>
      <c r="C13" s="79"/>
      <c r="D13" s="107"/>
      <c r="E13" s="172" t="s">
        <v>55</v>
      </c>
      <c r="F13" s="79"/>
      <c r="G13" s="79"/>
      <c r="H13" s="79"/>
      <c r="I13" s="173"/>
    </row>
    <row r="14" spans="1:26" ht="16.5" customHeight="1">
      <c r="A14" s="114" t="s">
        <v>56</v>
      </c>
      <c r="B14" s="79"/>
      <c r="C14" s="79"/>
      <c r="D14" s="107"/>
      <c r="E14" s="172" t="s">
        <v>57</v>
      </c>
      <c r="F14" s="79"/>
      <c r="G14" s="79"/>
      <c r="H14" s="79"/>
      <c r="I14" s="173"/>
    </row>
    <row r="15" spans="1:26" ht="16.5" customHeight="1">
      <c r="A15" s="114" t="s">
        <v>58</v>
      </c>
      <c r="B15" s="79"/>
      <c r="C15" s="79"/>
      <c r="D15" s="107"/>
      <c r="E15" s="172" t="s">
        <v>59</v>
      </c>
      <c r="F15" s="79"/>
      <c r="G15" s="79"/>
      <c r="H15" s="79"/>
      <c r="I15" s="173"/>
    </row>
    <row r="16" spans="1:26" ht="16.5" customHeight="1">
      <c r="A16" s="114" t="s">
        <v>60</v>
      </c>
      <c r="B16" s="79"/>
      <c r="C16" s="79"/>
      <c r="D16" s="107"/>
      <c r="E16" s="172" t="s">
        <v>61</v>
      </c>
      <c r="F16" s="79"/>
      <c r="G16" s="79"/>
      <c r="H16" s="79"/>
      <c r="I16" s="173"/>
    </row>
    <row r="17" spans="1:26" ht="16.5" customHeight="1">
      <c r="A17" s="115" t="s">
        <v>62</v>
      </c>
      <c r="B17" s="82"/>
      <c r="C17" s="82"/>
      <c r="D17" s="116"/>
      <c r="E17" s="172" t="s">
        <v>63</v>
      </c>
      <c r="F17" s="79"/>
      <c r="G17" s="79"/>
      <c r="H17" s="79"/>
      <c r="I17" s="173"/>
    </row>
    <row r="18" spans="1:26" ht="16.5" customHeight="1">
      <c r="A18" s="117" t="s">
        <v>64</v>
      </c>
      <c r="B18" s="72"/>
      <c r="C18" s="72"/>
      <c r="D18" s="118"/>
      <c r="E18" s="172" t="s">
        <v>65</v>
      </c>
      <c r="F18" s="79"/>
      <c r="G18" s="79"/>
      <c r="H18" s="79"/>
      <c r="I18" s="173"/>
    </row>
    <row r="19" spans="1:26" ht="16.5" customHeight="1">
      <c r="A19" s="119"/>
      <c r="B19" s="120"/>
      <c r="C19" s="120"/>
      <c r="D19" s="121"/>
      <c r="E19" s="172" t="s">
        <v>66</v>
      </c>
      <c r="F19" s="79"/>
      <c r="G19" s="79"/>
      <c r="H19" s="79"/>
      <c r="I19" s="173"/>
    </row>
    <row r="20" spans="1:26" ht="16.5" customHeight="1">
      <c r="A20" s="119"/>
      <c r="B20" s="120"/>
      <c r="C20" s="120"/>
      <c r="D20" s="121"/>
      <c r="E20" s="172" t="s">
        <v>67</v>
      </c>
      <c r="F20" s="79"/>
      <c r="G20" s="79"/>
      <c r="H20" s="79"/>
      <c r="I20" s="173"/>
    </row>
    <row r="21" spans="1:26" ht="48" customHeight="1">
      <c r="A21" s="122"/>
      <c r="B21" s="74"/>
      <c r="C21" s="74"/>
      <c r="D21" s="93"/>
      <c r="E21" s="174" t="s">
        <v>68</v>
      </c>
      <c r="F21" s="74"/>
      <c r="G21" s="74"/>
      <c r="H21" s="74"/>
      <c r="I21" s="175"/>
    </row>
    <row r="22" spans="1:26" ht="48" customHeight="1">
      <c r="A22" s="123" t="s">
        <v>69</v>
      </c>
      <c r="B22" s="85"/>
      <c r="C22" s="85"/>
      <c r="D22" s="102"/>
      <c r="E22" s="176" t="s">
        <v>70</v>
      </c>
      <c r="F22" s="85"/>
      <c r="G22" s="85"/>
      <c r="H22" s="85"/>
      <c r="I22" s="169"/>
    </row>
    <row r="23" spans="1:26" ht="20.25" customHeight="1">
      <c r="A23" s="177" t="s">
        <v>71</v>
      </c>
      <c r="B23" s="85"/>
      <c r="C23" s="85"/>
      <c r="D23" s="85"/>
      <c r="E23" s="85"/>
      <c r="F23" s="85"/>
      <c r="G23" s="102"/>
      <c r="H23" s="178"/>
      <c r="I23" s="169"/>
    </row>
    <row r="24" spans="1:26" ht="17.25" customHeight="1">
      <c r="A24" s="38" t="s">
        <v>72</v>
      </c>
      <c r="B24" s="38" t="s">
        <v>73</v>
      </c>
      <c r="C24" s="38" t="s">
        <v>74</v>
      </c>
      <c r="D24" s="38" t="s">
        <v>75</v>
      </c>
      <c r="E24" s="39" t="s">
        <v>76</v>
      </c>
      <c r="F24" s="39" t="s">
        <v>77</v>
      </c>
      <c r="G24" s="39" t="s">
        <v>78</v>
      </c>
      <c r="H24" s="39" t="s">
        <v>79</v>
      </c>
      <c r="I24" s="40"/>
    </row>
    <row r="25" spans="1:26" ht="97.5" customHeight="1">
      <c r="A25" s="41" t="s">
        <v>80</v>
      </c>
      <c r="B25" s="41" t="s">
        <v>81</v>
      </c>
      <c r="C25" s="41" t="s">
        <v>82</v>
      </c>
      <c r="D25" s="41" t="s">
        <v>83</v>
      </c>
      <c r="E25" s="42" t="s">
        <v>84</v>
      </c>
      <c r="F25" s="41" t="s">
        <v>85</v>
      </c>
      <c r="G25" s="41" t="s">
        <v>86</v>
      </c>
      <c r="H25" s="43" t="s">
        <v>87</v>
      </c>
      <c r="I25" s="41" t="s">
        <v>88</v>
      </c>
      <c r="J25" s="44" t="s">
        <v>89</v>
      </c>
      <c r="K25" s="17"/>
    </row>
    <row r="26" spans="1:26" ht="96" customHeight="1">
      <c r="A26" s="45"/>
      <c r="B26" s="45"/>
      <c r="C26" s="46"/>
      <c r="D26" s="46"/>
      <c r="E26" s="45"/>
      <c r="F26" s="47"/>
      <c r="G26" s="47"/>
      <c r="H26" s="48"/>
      <c r="I26" s="49"/>
      <c r="J26" s="50"/>
      <c r="K26" s="17"/>
      <c r="L26" s="17"/>
      <c r="M26" s="17"/>
      <c r="N26" s="17"/>
      <c r="O26" s="17"/>
      <c r="P26" s="17"/>
      <c r="Q26" s="17"/>
      <c r="R26" s="17"/>
      <c r="S26" s="17"/>
      <c r="T26" s="17"/>
      <c r="U26" s="17"/>
      <c r="V26" s="17"/>
      <c r="W26" s="17"/>
      <c r="X26" s="17"/>
      <c r="Y26" s="17"/>
      <c r="Z26" s="17"/>
    </row>
    <row r="27" spans="1:26" ht="96" customHeight="1">
      <c r="A27" s="51"/>
      <c r="B27" s="51"/>
      <c r="C27" s="52"/>
      <c r="D27" s="52"/>
      <c r="E27" s="53"/>
      <c r="F27" s="47"/>
      <c r="G27" s="47"/>
      <c r="H27" s="48"/>
      <c r="I27" s="49"/>
      <c r="J27" s="50"/>
      <c r="K27" s="17"/>
      <c r="L27" s="17"/>
      <c r="M27" s="17"/>
      <c r="N27" s="17"/>
      <c r="O27" s="17"/>
      <c r="P27" s="17"/>
      <c r="Q27" s="17"/>
      <c r="R27" s="17"/>
      <c r="S27" s="17"/>
      <c r="T27" s="17"/>
      <c r="U27" s="17"/>
      <c r="V27" s="17"/>
      <c r="W27" s="17"/>
      <c r="X27" s="17"/>
      <c r="Y27" s="17"/>
      <c r="Z27" s="17"/>
    </row>
    <row r="28" spans="1:26" ht="96" customHeight="1">
      <c r="A28" s="51"/>
      <c r="B28" s="51"/>
      <c r="C28" s="52"/>
      <c r="D28" s="52"/>
      <c r="E28" s="53"/>
      <c r="F28" s="47"/>
      <c r="G28" s="47"/>
      <c r="H28" s="48"/>
      <c r="I28" s="49"/>
      <c r="J28" s="50"/>
      <c r="K28" s="17"/>
      <c r="L28" s="17"/>
      <c r="M28" s="17"/>
      <c r="N28" s="17"/>
      <c r="O28" s="17"/>
      <c r="P28" s="17"/>
      <c r="Q28" s="17"/>
      <c r="R28" s="17"/>
      <c r="S28" s="17"/>
      <c r="T28" s="17"/>
      <c r="U28" s="17"/>
      <c r="V28" s="17"/>
      <c r="W28" s="17"/>
      <c r="X28" s="17"/>
      <c r="Y28" s="17"/>
      <c r="Z28" s="17"/>
    </row>
    <row r="29" spans="1:26" ht="96" customHeight="1">
      <c r="A29" s="51"/>
      <c r="B29" s="51"/>
      <c r="C29" s="52"/>
      <c r="D29" s="52"/>
      <c r="E29" s="53"/>
      <c r="F29" s="47"/>
      <c r="G29" s="47"/>
      <c r="H29" s="48"/>
      <c r="I29" s="49"/>
      <c r="J29" s="50"/>
      <c r="K29" s="17"/>
      <c r="L29" s="17"/>
      <c r="M29" s="17"/>
      <c r="N29" s="17"/>
      <c r="O29" s="17"/>
      <c r="P29" s="17"/>
      <c r="Q29" s="17"/>
      <c r="R29" s="17"/>
      <c r="S29" s="17"/>
      <c r="T29" s="17"/>
      <c r="U29" s="17"/>
      <c r="V29" s="17"/>
      <c r="W29" s="17"/>
      <c r="X29" s="17"/>
      <c r="Y29" s="17"/>
      <c r="Z29" s="17"/>
    </row>
    <row r="30" spans="1:26" ht="96" customHeight="1">
      <c r="A30" s="54"/>
      <c r="B30" s="54"/>
      <c r="C30" s="52"/>
      <c r="D30" s="52"/>
      <c r="E30" s="53"/>
      <c r="F30" s="47"/>
      <c r="G30" s="47"/>
      <c r="H30" s="48"/>
      <c r="I30" s="49"/>
      <c r="J30" s="50"/>
      <c r="K30" s="17"/>
      <c r="L30" s="17"/>
      <c r="M30" s="17"/>
      <c r="N30" s="17"/>
      <c r="O30" s="17"/>
      <c r="P30" s="17"/>
      <c r="Q30" s="17"/>
      <c r="R30" s="17"/>
      <c r="S30" s="17"/>
      <c r="T30" s="17"/>
      <c r="U30" s="17"/>
      <c r="V30" s="17"/>
      <c r="W30" s="17"/>
      <c r="X30" s="17"/>
      <c r="Y30" s="17"/>
      <c r="Z30" s="17"/>
    </row>
    <row r="31" spans="1:26" ht="96" customHeight="1">
      <c r="A31" s="54"/>
      <c r="B31" s="54"/>
      <c r="C31" s="52"/>
      <c r="D31" s="52"/>
      <c r="E31" s="53"/>
      <c r="F31" s="47"/>
      <c r="G31" s="47"/>
      <c r="H31" s="48"/>
      <c r="I31" s="49"/>
      <c r="J31" s="50"/>
      <c r="K31" s="17"/>
      <c r="L31" s="17"/>
      <c r="M31" s="17"/>
      <c r="N31" s="17"/>
      <c r="O31" s="17"/>
      <c r="P31" s="17"/>
      <c r="Q31" s="17"/>
      <c r="R31" s="17"/>
      <c r="S31" s="17"/>
      <c r="T31" s="17"/>
      <c r="U31" s="17"/>
      <c r="V31" s="17"/>
      <c r="W31" s="17"/>
      <c r="X31" s="17"/>
      <c r="Y31" s="17"/>
      <c r="Z31" s="17"/>
    </row>
    <row r="32" spans="1:26" ht="119.25" customHeight="1">
      <c r="A32" s="51"/>
      <c r="B32" s="51"/>
      <c r="C32" s="52"/>
      <c r="D32" s="52"/>
      <c r="E32" s="53"/>
      <c r="F32" s="47"/>
      <c r="G32" s="47"/>
      <c r="H32" s="48"/>
      <c r="I32" s="49"/>
      <c r="J32" s="50"/>
      <c r="K32" s="17"/>
      <c r="L32" s="17"/>
      <c r="M32" s="17"/>
      <c r="N32" s="17"/>
      <c r="O32" s="17"/>
      <c r="P32" s="17"/>
      <c r="Q32" s="17"/>
      <c r="R32" s="17"/>
      <c r="S32" s="17"/>
      <c r="T32" s="17"/>
      <c r="U32" s="17"/>
      <c r="V32" s="17"/>
      <c r="W32" s="17"/>
      <c r="X32" s="17"/>
      <c r="Y32" s="17"/>
      <c r="Z32" s="17"/>
    </row>
    <row r="33" spans="1:26" ht="119.25" customHeight="1">
      <c r="A33" s="51"/>
      <c r="B33" s="51"/>
      <c r="C33" s="52"/>
      <c r="D33" s="52"/>
      <c r="E33" s="53"/>
      <c r="F33" s="47"/>
      <c r="G33" s="47"/>
      <c r="H33" s="48"/>
      <c r="I33" s="49"/>
      <c r="J33" s="50"/>
      <c r="K33" s="17"/>
      <c r="L33" s="17"/>
      <c r="M33" s="17"/>
      <c r="N33" s="17"/>
      <c r="O33" s="17"/>
      <c r="P33" s="17"/>
      <c r="Q33" s="17"/>
      <c r="R33" s="17"/>
      <c r="S33" s="17"/>
      <c r="T33" s="17"/>
      <c r="U33" s="17"/>
      <c r="V33" s="17"/>
      <c r="W33" s="17"/>
      <c r="X33" s="17"/>
      <c r="Y33" s="17"/>
      <c r="Z33" s="17"/>
    </row>
    <row r="34" spans="1:26" ht="119.25" customHeight="1">
      <c r="A34" s="51"/>
      <c r="B34" s="51"/>
      <c r="C34" s="52"/>
      <c r="D34" s="52"/>
      <c r="E34" s="53"/>
      <c r="F34" s="47"/>
      <c r="G34" s="47"/>
      <c r="H34" s="48"/>
      <c r="I34" s="49"/>
      <c r="J34" s="50"/>
      <c r="K34" s="17"/>
      <c r="L34" s="17"/>
      <c r="M34" s="17"/>
      <c r="N34" s="17"/>
      <c r="O34" s="17"/>
      <c r="P34" s="17"/>
      <c r="Q34" s="17"/>
      <c r="R34" s="17"/>
      <c r="S34" s="17"/>
      <c r="T34" s="17"/>
      <c r="U34" s="17"/>
      <c r="V34" s="17"/>
      <c r="W34" s="17"/>
      <c r="X34" s="17"/>
      <c r="Y34" s="17"/>
      <c r="Z34" s="17"/>
    </row>
    <row r="35" spans="1:26" ht="119.25" customHeight="1">
      <c r="A35" s="55"/>
      <c r="B35" s="55"/>
      <c r="C35" s="52"/>
      <c r="D35" s="52"/>
      <c r="E35" s="53"/>
      <c r="F35" s="47"/>
      <c r="G35" s="47"/>
      <c r="H35" s="48"/>
      <c r="I35" s="49"/>
      <c r="J35" s="50"/>
      <c r="K35" s="17"/>
      <c r="L35" s="17"/>
      <c r="M35" s="17"/>
      <c r="N35" s="17"/>
      <c r="O35" s="17"/>
      <c r="P35" s="17"/>
      <c r="Q35" s="17"/>
      <c r="R35" s="17"/>
      <c r="S35" s="17"/>
      <c r="T35" s="17"/>
      <c r="U35" s="17"/>
      <c r="V35" s="17"/>
      <c r="W35" s="17"/>
      <c r="X35" s="17"/>
      <c r="Y35" s="17"/>
      <c r="Z35" s="17"/>
    </row>
    <row r="36" spans="1:26" ht="119.25" customHeight="1">
      <c r="A36" s="55"/>
      <c r="B36" s="55"/>
      <c r="C36" s="52"/>
      <c r="D36" s="52"/>
      <c r="E36" s="53"/>
      <c r="F36" s="47"/>
      <c r="G36" s="47"/>
      <c r="H36" s="48"/>
      <c r="I36" s="49"/>
      <c r="J36" s="50"/>
      <c r="K36" s="17"/>
      <c r="L36" s="17"/>
      <c r="M36" s="17"/>
      <c r="N36" s="17"/>
      <c r="O36" s="17"/>
      <c r="P36" s="17"/>
      <c r="Q36" s="17"/>
      <c r="R36" s="17"/>
      <c r="S36" s="17"/>
      <c r="T36" s="17"/>
      <c r="U36" s="17"/>
      <c r="V36" s="17"/>
      <c r="W36" s="17"/>
      <c r="X36" s="17"/>
      <c r="Y36" s="17"/>
      <c r="Z36" s="17"/>
    </row>
    <row r="37" spans="1:26" ht="49.5" customHeight="1">
      <c r="A37" s="55"/>
      <c r="B37" s="55"/>
      <c r="C37" s="52"/>
      <c r="D37" s="52"/>
      <c r="E37" s="53"/>
      <c r="F37" s="47"/>
      <c r="G37" s="47"/>
      <c r="H37" s="48"/>
      <c r="I37" s="49"/>
      <c r="J37" s="50"/>
      <c r="K37" s="17"/>
      <c r="L37" s="17"/>
      <c r="M37" s="17"/>
      <c r="N37" s="17"/>
      <c r="O37" s="17"/>
      <c r="P37" s="17"/>
      <c r="Q37" s="17"/>
      <c r="R37" s="17"/>
      <c r="S37" s="17"/>
      <c r="T37" s="17"/>
      <c r="U37" s="17"/>
      <c r="V37" s="17"/>
      <c r="W37" s="17"/>
      <c r="X37" s="17"/>
      <c r="Y37" s="17"/>
      <c r="Z37" s="17"/>
    </row>
    <row r="38" spans="1:26" ht="49.5" customHeight="1">
      <c r="A38" s="55"/>
      <c r="B38" s="55"/>
      <c r="C38" s="52"/>
      <c r="D38" s="52"/>
      <c r="E38" s="53"/>
      <c r="F38" s="47"/>
      <c r="G38" s="47"/>
      <c r="H38" s="48"/>
      <c r="I38" s="56"/>
      <c r="J38" s="50"/>
      <c r="K38" s="17"/>
      <c r="L38" s="17"/>
      <c r="M38" s="17"/>
      <c r="N38" s="17"/>
      <c r="O38" s="17"/>
      <c r="P38" s="17"/>
      <c r="Q38" s="17"/>
      <c r="R38" s="17"/>
      <c r="S38" s="17"/>
      <c r="T38" s="17"/>
      <c r="U38" s="17"/>
      <c r="V38" s="17"/>
      <c r="W38" s="17"/>
      <c r="X38" s="17"/>
      <c r="Y38" s="17"/>
      <c r="Z38" s="17"/>
    </row>
    <row r="39" spans="1:26" ht="49.5" customHeight="1">
      <c r="A39" s="55"/>
      <c r="B39" s="55"/>
      <c r="C39" s="52"/>
      <c r="D39" s="52"/>
      <c r="E39" s="53"/>
      <c r="F39" s="47"/>
      <c r="G39" s="47"/>
      <c r="H39" s="48"/>
      <c r="I39" s="49"/>
      <c r="J39" s="50"/>
      <c r="K39" s="17"/>
      <c r="L39" s="17"/>
      <c r="M39" s="17"/>
      <c r="N39" s="17"/>
      <c r="O39" s="17"/>
      <c r="P39" s="17"/>
      <c r="Q39" s="17"/>
      <c r="R39" s="17"/>
      <c r="S39" s="17"/>
      <c r="T39" s="17"/>
      <c r="U39" s="17"/>
      <c r="V39" s="17"/>
      <c r="W39" s="17"/>
      <c r="X39" s="17"/>
      <c r="Y39" s="17"/>
      <c r="Z39" s="17"/>
    </row>
    <row r="40" spans="1:26" ht="49.5" customHeight="1">
      <c r="A40" s="57"/>
      <c r="B40" s="57"/>
      <c r="C40" s="52"/>
      <c r="D40" s="52"/>
      <c r="E40" s="53"/>
      <c r="F40" s="47"/>
      <c r="G40" s="47"/>
      <c r="H40" s="48"/>
      <c r="I40" s="49"/>
      <c r="J40" s="50"/>
      <c r="K40" s="17"/>
      <c r="L40" s="17"/>
      <c r="M40" s="17"/>
      <c r="N40" s="17"/>
      <c r="O40" s="17"/>
      <c r="P40" s="17"/>
      <c r="Q40" s="17"/>
      <c r="R40" s="17"/>
      <c r="S40" s="17"/>
      <c r="T40" s="17"/>
      <c r="U40" s="17"/>
      <c r="V40" s="17"/>
      <c r="W40" s="17"/>
      <c r="X40" s="17"/>
      <c r="Y40" s="17"/>
      <c r="Z40" s="17"/>
    </row>
    <row r="41" spans="1:26" ht="49.5" customHeight="1">
      <c r="A41" s="58"/>
      <c r="B41" s="58"/>
      <c r="C41" s="59"/>
      <c r="D41" s="46"/>
      <c r="E41" s="53"/>
      <c r="F41" s="47"/>
      <c r="G41" s="47"/>
      <c r="H41" s="48"/>
      <c r="I41" s="49"/>
      <c r="J41" s="50"/>
      <c r="K41" s="17"/>
      <c r="L41" s="17"/>
      <c r="M41" s="17"/>
      <c r="N41" s="17"/>
      <c r="O41" s="17"/>
      <c r="P41" s="17"/>
      <c r="Q41" s="17"/>
      <c r="R41" s="17"/>
      <c r="S41" s="17"/>
      <c r="T41" s="17"/>
      <c r="U41" s="17"/>
      <c r="V41" s="17"/>
      <c r="W41" s="17"/>
      <c r="X41" s="17"/>
      <c r="Y41" s="17"/>
      <c r="Z41" s="17"/>
    </row>
    <row r="42" spans="1:26" ht="49.5" customHeight="1">
      <c r="A42" s="58"/>
      <c r="B42" s="58"/>
      <c r="C42" s="46"/>
      <c r="D42" s="53"/>
      <c r="E42" s="53"/>
      <c r="F42" s="47"/>
      <c r="G42" s="47"/>
      <c r="H42" s="48"/>
      <c r="I42" s="49"/>
      <c r="J42" s="50"/>
      <c r="K42" s="17"/>
      <c r="L42" s="17"/>
      <c r="M42" s="17"/>
      <c r="N42" s="17"/>
      <c r="O42" s="17"/>
      <c r="P42" s="17"/>
      <c r="Q42" s="17"/>
      <c r="R42" s="17"/>
      <c r="S42" s="17"/>
      <c r="T42" s="17"/>
      <c r="U42" s="17"/>
      <c r="V42" s="17"/>
      <c r="W42" s="17"/>
      <c r="X42" s="17"/>
      <c r="Y42" s="17"/>
      <c r="Z42" s="17"/>
    </row>
    <row r="43" spans="1:26" ht="49.5" customHeight="1">
      <c r="A43" s="55"/>
      <c r="B43" s="55"/>
      <c r="C43" s="52"/>
      <c r="D43" s="60"/>
      <c r="E43" s="53"/>
      <c r="F43" s="47"/>
      <c r="G43" s="47"/>
      <c r="H43" s="48"/>
      <c r="I43" s="49"/>
      <c r="J43" s="50"/>
      <c r="K43" s="17"/>
      <c r="L43" s="17"/>
      <c r="M43" s="17"/>
      <c r="N43" s="17"/>
      <c r="O43" s="17"/>
      <c r="P43" s="17"/>
      <c r="Q43" s="17"/>
      <c r="R43" s="17"/>
      <c r="S43" s="17"/>
      <c r="T43" s="17"/>
      <c r="U43" s="17"/>
      <c r="V43" s="17"/>
      <c r="W43" s="17"/>
      <c r="X43" s="17"/>
      <c r="Y43" s="17"/>
      <c r="Z43" s="17"/>
    </row>
    <row r="44" spans="1:26" ht="49.5" customHeight="1">
      <c r="A44" s="55"/>
      <c r="B44" s="55"/>
      <c r="C44" s="52"/>
      <c r="D44" s="60"/>
      <c r="E44" s="53"/>
      <c r="F44" s="47"/>
      <c r="G44" s="47"/>
      <c r="H44" s="48"/>
      <c r="I44" s="49"/>
      <c r="J44" s="50"/>
      <c r="K44" s="17"/>
      <c r="L44" s="17"/>
      <c r="M44" s="17"/>
      <c r="N44" s="17"/>
      <c r="O44" s="17"/>
      <c r="P44" s="17"/>
      <c r="Q44" s="17"/>
      <c r="R44" s="17"/>
      <c r="S44" s="17"/>
      <c r="T44" s="17"/>
      <c r="U44" s="17"/>
      <c r="V44" s="17"/>
      <c r="W44" s="17"/>
      <c r="X44" s="17"/>
      <c r="Y44" s="17"/>
      <c r="Z44" s="17"/>
    </row>
    <row r="45" spans="1:26" ht="49.5" customHeight="1">
      <c r="A45" s="58"/>
      <c r="B45" s="58"/>
      <c r="C45" s="61"/>
      <c r="D45" s="62"/>
      <c r="E45" s="53"/>
      <c r="F45" s="47"/>
      <c r="G45" s="47"/>
      <c r="H45" s="48"/>
      <c r="I45" s="49"/>
      <c r="J45" s="50"/>
      <c r="K45" s="17"/>
      <c r="L45" s="17"/>
      <c r="M45" s="17"/>
      <c r="N45" s="17"/>
      <c r="O45" s="17"/>
      <c r="P45" s="17"/>
      <c r="Q45" s="17"/>
      <c r="R45" s="17"/>
      <c r="S45" s="17"/>
      <c r="T45" s="17"/>
      <c r="U45" s="17"/>
      <c r="V45" s="17"/>
      <c r="W45" s="17"/>
      <c r="X45" s="17"/>
      <c r="Y45" s="17"/>
      <c r="Z45" s="17"/>
    </row>
    <row r="46" spans="1:26" ht="6"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ht="28.5" customHeight="1">
      <c r="A47" s="124" t="s">
        <v>90</v>
      </c>
      <c r="B47" s="125"/>
      <c r="C47" s="125"/>
      <c r="D47" s="126"/>
      <c r="E47" s="127" t="s">
        <v>91</v>
      </c>
      <c r="F47" s="128"/>
      <c r="G47" s="128"/>
      <c r="H47" s="128"/>
      <c r="I47" s="129"/>
    </row>
    <row r="48" spans="1:26" ht="30" customHeight="1">
      <c r="A48" s="130"/>
      <c r="B48" s="72"/>
      <c r="C48" s="72"/>
      <c r="D48" s="118"/>
      <c r="E48" s="134" t="s">
        <v>92</v>
      </c>
      <c r="F48" s="85"/>
      <c r="G48" s="85"/>
      <c r="H48" s="102"/>
      <c r="I48" s="63"/>
    </row>
    <row r="49" spans="1:10" ht="30" customHeight="1">
      <c r="A49" s="119"/>
      <c r="B49" s="120"/>
      <c r="C49" s="120"/>
      <c r="D49" s="121"/>
      <c r="E49" s="134" t="s">
        <v>93</v>
      </c>
      <c r="F49" s="85"/>
      <c r="G49" s="85"/>
      <c r="H49" s="102"/>
      <c r="I49" s="63"/>
    </row>
    <row r="50" spans="1:10" ht="30" customHeight="1">
      <c r="A50" s="119"/>
      <c r="B50" s="120"/>
      <c r="C50" s="120"/>
      <c r="D50" s="121"/>
      <c r="E50" s="134" t="s">
        <v>94</v>
      </c>
      <c r="F50" s="85"/>
      <c r="G50" s="85"/>
      <c r="H50" s="102"/>
      <c r="I50" s="63"/>
    </row>
    <row r="51" spans="1:10" ht="30" customHeight="1">
      <c r="A51" s="119"/>
      <c r="B51" s="120"/>
      <c r="C51" s="120"/>
      <c r="D51" s="121"/>
      <c r="E51" s="134" t="s">
        <v>95</v>
      </c>
      <c r="F51" s="85"/>
      <c r="G51" s="85"/>
      <c r="H51" s="102"/>
      <c r="I51" s="64"/>
    </row>
    <row r="52" spans="1:10" ht="30" customHeight="1">
      <c r="A52" s="131"/>
      <c r="B52" s="132"/>
      <c r="C52" s="132"/>
      <c r="D52" s="133"/>
      <c r="E52" s="138" t="s">
        <v>96</v>
      </c>
      <c r="F52" s="139"/>
      <c r="G52" s="139"/>
      <c r="H52" s="140"/>
      <c r="I52" s="65" t="str">
        <f>IF(DATOS!A26&lt;=4, "Correcto", "Incorrecto")</f>
        <v>Correcto</v>
      </c>
    </row>
    <row r="53" spans="1:10" ht="15.75" customHeight="1"/>
    <row r="54" spans="1:10" ht="40.5" customHeight="1">
      <c r="A54" s="127" t="s">
        <v>97</v>
      </c>
      <c r="B54" s="128"/>
      <c r="C54" s="128"/>
      <c r="D54" s="128"/>
      <c r="E54" s="128"/>
      <c r="F54" s="128"/>
      <c r="G54" s="128"/>
      <c r="H54" s="128"/>
      <c r="I54" s="128"/>
      <c r="J54" s="141"/>
    </row>
    <row r="55" spans="1:10" ht="27.75" customHeight="1">
      <c r="A55" s="134" t="s">
        <v>98</v>
      </c>
      <c r="B55" s="102"/>
      <c r="C55" s="142" t="str">
        <f>C9</f>
        <v>Lenor S.R.L.</v>
      </c>
      <c r="D55" s="102"/>
      <c r="E55" s="143" t="s">
        <v>99</v>
      </c>
      <c r="F55" s="72"/>
      <c r="G55" s="72"/>
      <c r="H55" s="72"/>
      <c r="I55" s="72"/>
      <c r="J55" s="118"/>
    </row>
    <row r="56" spans="1:10" ht="27.75" customHeight="1">
      <c r="A56" s="134" t="s">
        <v>100</v>
      </c>
      <c r="B56" s="85"/>
      <c r="C56" s="102"/>
      <c r="D56" s="66">
        <v>1</v>
      </c>
      <c r="E56" s="137"/>
      <c r="F56" s="74"/>
      <c r="G56" s="74"/>
      <c r="H56" s="74"/>
      <c r="I56" s="74"/>
      <c r="J56" s="93"/>
    </row>
    <row r="57" spans="1:10" ht="24" customHeight="1">
      <c r="A57" s="124" t="s">
        <v>101</v>
      </c>
      <c r="B57" s="125"/>
      <c r="C57" s="125"/>
      <c r="D57" s="126"/>
      <c r="E57" s="67" t="s">
        <v>4</v>
      </c>
      <c r="F57" s="68">
        <v>46136</v>
      </c>
    </row>
    <row r="58" spans="1:10" ht="24" customHeight="1">
      <c r="A58" s="135"/>
      <c r="B58" s="72"/>
      <c r="C58" s="72"/>
      <c r="D58" s="118"/>
    </row>
    <row r="59" spans="1:10" ht="15.75" customHeight="1">
      <c r="A59" s="136"/>
      <c r="B59" s="120"/>
      <c r="C59" s="120"/>
      <c r="D59" s="121"/>
    </row>
    <row r="60" spans="1:10" ht="15.75" customHeight="1">
      <c r="A60" s="136"/>
      <c r="B60" s="120"/>
      <c r="C60" s="120"/>
      <c r="D60" s="121"/>
    </row>
    <row r="61" spans="1:10" ht="15.75" customHeight="1">
      <c r="A61" s="136"/>
      <c r="B61" s="120"/>
      <c r="C61" s="120"/>
      <c r="D61" s="121"/>
    </row>
    <row r="62" spans="1:10" ht="15.75" customHeight="1">
      <c r="A62" s="136"/>
      <c r="B62" s="120"/>
      <c r="C62" s="120"/>
      <c r="D62" s="121"/>
    </row>
    <row r="63" spans="1:10" ht="15.75" customHeight="1">
      <c r="A63" s="136"/>
      <c r="B63" s="120"/>
      <c r="C63" s="120"/>
      <c r="D63" s="121"/>
    </row>
    <row r="64" spans="1:10" ht="15.75" customHeight="1">
      <c r="A64" s="137"/>
      <c r="B64" s="74"/>
      <c r="C64" s="74"/>
      <c r="D64" s="93"/>
    </row>
    <row r="65" spans="1:4" ht="23.25" customHeight="1">
      <c r="A65" s="69" t="s">
        <v>102</v>
      </c>
      <c r="B65" s="110"/>
      <c r="C65" s="85"/>
      <c r="D65" s="102"/>
    </row>
    <row r="66" spans="1:4" ht="15.75" customHeight="1"/>
    <row r="67" spans="1:4" ht="15.75" customHeight="1"/>
    <row r="68" spans="1:4" ht="15.75" customHeight="1"/>
    <row r="69" spans="1:4" ht="15.75" customHeight="1"/>
    <row r="70" spans="1:4" ht="15.75" customHeight="1"/>
    <row r="71" spans="1:4" ht="15.75" customHeight="1"/>
    <row r="72" spans="1:4" ht="15.75" customHeight="1"/>
    <row r="73" spans="1:4" ht="15.75" customHeight="1"/>
    <row r="74" spans="1:4" ht="15.75" customHeight="1"/>
    <row r="75" spans="1:4" ht="15.75" customHeight="1"/>
    <row r="76" spans="1:4" ht="15.75" customHeight="1"/>
    <row r="77" spans="1:4" ht="15.75" customHeight="1"/>
    <row r="78" spans="1:4" ht="15.75" customHeight="1"/>
    <row r="79" spans="1:4" ht="15.75" customHeight="1"/>
    <row r="80" spans="1:4"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4">
    <mergeCell ref="E12:I12"/>
    <mergeCell ref="E13:I13"/>
    <mergeCell ref="E14:I14"/>
    <mergeCell ref="E15:I15"/>
    <mergeCell ref="E16:I16"/>
    <mergeCell ref="G10:H10"/>
    <mergeCell ref="G11:H11"/>
    <mergeCell ref="A8:B8"/>
    <mergeCell ref="C8:D8"/>
    <mergeCell ref="A9:B9"/>
    <mergeCell ref="C9:D9"/>
    <mergeCell ref="A10:B11"/>
    <mergeCell ref="D10:E10"/>
    <mergeCell ref="D11:E11"/>
    <mergeCell ref="E8:F8"/>
    <mergeCell ref="G8:H8"/>
    <mergeCell ref="E9:I9"/>
    <mergeCell ref="I10:I11"/>
    <mergeCell ref="A6:B6"/>
    <mergeCell ref="C6:D6"/>
    <mergeCell ref="E6:F6"/>
    <mergeCell ref="A7:B7"/>
    <mergeCell ref="G6:M6"/>
    <mergeCell ref="C7:I7"/>
    <mergeCell ref="A1:B2"/>
    <mergeCell ref="C1:H2"/>
    <mergeCell ref="A3:I3"/>
    <mergeCell ref="A4:I4"/>
    <mergeCell ref="C5:E5"/>
    <mergeCell ref="F5:G5"/>
    <mergeCell ref="H5:I5"/>
    <mergeCell ref="A5:B5"/>
    <mergeCell ref="A58:D64"/>
    <mergeCell ref="B65:D65"/>
    <mergeCell ref="E51:H51"/>
    <mergeCell ref="E52:H52"/>
    <mergeCell ref="A54:J54"/>
    <mergeCell ref="A55:B55"/>
    <mergeCell ref="C55:D55"/>
    <mergeCell ref="E55:J56"/>
    <mergeCell ref="A56:C56"/>
    <mergeCell ref="A48:D52"/>
    <mergeCell ref="E48:H48"/>
    <mergeCell ref="E49:H49"/>
    <mergeCell ref="E50:H50"/>
    <mergeCell ref="A57:D57"/>
    <mergeCell ref="A17:D17"/>
    <mergeCell ref="A18:D21"/>
    <mergeCell ref="A22:D22"/>
    <mergeCell ref="A47:D47"/>
    <mergeCell ref="E47:I47"/>
    <mergeCell ref="E19:I19"/>
    <mergeCell ref="E20:I20"/>
    <mergeCell ref="E21:I21"/>
    <mergeCell ref="E22:I22"/>
    <mergeCell ref="A23:G23"/>
    <mergeCell ref="H23:I23"/>
    <mergeCell ref="E17:I17"/>
    <mergeCell ref="E18:I18"/>
    <mergeCell ref="A12:D12"/>
    <mergeCell ref="A13:D13"/>
    <mergeCell ref="A14:D14"/>
    <mergeCell ref="A15:D15"/>
    <mergeCell ref="A16:D16"/>
  </mergeCells>
  <conditionalFormatting sqref="H5:I5">
    <cfRule type="cellIs" dxfId="2" priority="3" stopIfTrue="1" operator="equal">
      <formula>0</formula>
    </cfRule>
  </conditionalFormatting>
  <conditionalFormatting sqref="I52">
    <cfRule type="cellIs" dxfId="1" priority="1" stopIfTrue="1" operator="notEqual">
      <formula>"Correcto"</formula>
    </cfRule>
    <cfRule type="cellIs" dxfId="0" priority="2" stopIfTrue="1" operator="equal">
      <formula>"Correcto"</formula>
    </cfRule>
  </conditionalFormatting>
  <hyperlinks>
    <hyperlink ref="G8" r:id="rId1" xr:uid="{00000000-0004-0000-0100-000000000000}"/>
    <hyperlink ref="D11" r:id="rId2" xr:uid="{00000000-0004-0000-0100-000001000000}"/>
  </hyperlinks>
  <pageMargins left="0.70866141732283472" right="0.70866141732283472" top="0.74803149606299213" bottom="0.74803149606299213" header="0" footer="0"/>
  <pageSetup paperSize="9" orientation="portrait"/>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000"/>
  <sheetViews>
    <sheetView workbookViewId="0"/>
  </sheetViews>
  <sheetFormatPr baseColWidth="10" defaultColWidth="14.44140625" defaultRowHeight="15" customHeight="1"/>
  <cols>
    <col min="1" max="1" width="10.6640625" customWidth="1"/>
    <col min="2" max="2" width="21.5546875" customWidth="1"/>
    <col min="3" max="3" width="25.44140625" customWidth="1"/>
    <col min="4" max="4" width="23.44140625" customWidth="1"/>
    <col min="5" max="7" width="10.6640625" customWidth="1"/>
    <col min="8" max="8" width="11.88671875" customWidth="1"/>
    <col min="9" max="10" width="10.6640625" customWidth="1"/>
    <col min="11" max="11" width="12.88671875" customWidth="1"/>
    <col min="12" max="14" width="10.6640625" customWidth="1"/>
    <col min="15" max="15" width="11.88671875" customWidth="1"/>
    <col min="16" max="20" width="10.6640625" customWidth="1"/>
    <col min="21" max="21" width="6.5546875" customWidth="1"/>
    <col min="22" max="26" width="10.6640625" customWidth="1"/>
  </cols>
  <sheetData>
    <row r="1" spans="1:22" ht="14.4">
      <c r="A1" s="18" t="s">
        <v>103</v>
      </c>
      <c r="B1" s="18">
        <v>3</v>
      </c>
      <c r="D1" s="18" t="s">
        <v>104</v>
      </c>
      <c r="G1" s="18" t="s">
        <v>105</v>
      </c>
      <c r="J1" s="18" t="s">
        <v>106</v>
      </c>
      <c r="M1" s="18" t="s">
        <v>107</v>
      </c>
      <c r="P1" s="18" t="s">
        <v>108</v>
      </c>
      <c r="S1" s="18" t="s">
        <v>109</v>
      </c>
      <c r="V1" s="18" t="s">
        <v>110</v>
      </c>
    </row>
    <row r="2" spans="1:22" ht="14.4">
      <c r="A2" s="18" t="s">
        <v>111</v>
      </c>
      <c r="D2" s="18" t="s">
        <v>112</v>
      </c>
      <c r="G2" s="18" t="s">
        <v>112</v>
      </c>
      <c r="M2" s="18" t="s">
        <v>112</v>
      </c>
      <c r="P2" s="18" t="s">
        <v>112</v>
      </c>
      <c r="V2" s="18" t="s">
        <v>112</v>
      </c>
    </row>
    <row r="3" spans="1:22" ht="14.4">
      <c r="A3" s="18" t="s">
        <v>113</v>
      </c>
      <c r="D3" s="18" t="s">
        <v>114</v>
      </c>
      <c r="G3" s="18" t="s">
        <v>114</v>
      </c>
      <c r="J3" s="18" t="s">
        <v>115</v>
      </c>
      <c r="M3" s="18" t="s">
        <v>114</v>
      </c>
      <c r="P3" s="18" t="s">
        <v>114</v>
      </c>
      <c r="S3" s="18" t="s">
        <v>115</v>
      </c>
    </row>
    <row r="4" spans="1:22" ht="14.4">
      <c r="A4" s="18" t="s">
        <v>116</v>
      </c>
      <c r="D4" s="18" t="s">
        <v>117</v>
      </c>
      <c r="G4" s="18" t="s">
        <v>117</v>
      </c>
      <c r="M4" s="18" t="s">
        <v>117</v>
      </c>
      <c r="P4" s="18" t="s">
        <v>117</v>
      </c>
      <c r="S4" s="18" t="s">
        <v>117</v>
      </c>
    </row>
    <row r="5" spans="1:22" ht="14.4">
      <c r="A5" s="18" t="s">
        <v>108</v>
      </c>
      <c r="D5" s="18" t="s">
        <v>118</v>
      </c>
      <c r="G5" s="18" t="s">
        <v>119</v>
      </c>
      <c r="J5" s="18" t="s">
        <v>17</v>
      </c>
      <c r="M5" s="18" t="s">
        <v>120</v>
      </c>
      <c r="P5" s="18" t="s">
        <v>121</v>
      </c>
      <c r="S5" s="18" t="s">
        <v>122</v>
      </c>
    </row>
    <row r="6" spans="1:22" ht="14.4">
      <c r="A6" s="18" t="s">
        <v>109</v>
      </c>
      <c r="D6" s="18" t="s">
        <v>123</v>
      </c>
      <c r="G6" s="18" t="s">
        <v>112</v>
      </c>
      <c r="J6" s="18" t="s">
        <v>20</v>
      </c>
      <c r="M6" s="18" t="s">
        <v>112</v>
      </c>
      <c r="P6" s="18" t="s">
        <v>112</v>
      </c>
      <c r="S6" s="18" t="s">
        <v>112</v>
      </c>
    </row>
    <row r="7" spans="1:22" ht="14.4">
      <c r="A7" s="18" t="s">
        <v>118</v>
      </c>
      <c r="D7" s="18" t="s">
        <v>117</v>
      </c>
      <c r="G7" s="18" t="s">
        <v>114</v>
      </c>
      <c r="M7" s="18" t="s">
        <v>114</v>
      </c>
      <c r="P7" s="18" t="s">
        <v>114</v>
      </c>
      <c r="S7" s="18" t="s">
        <v>114</v>
      </c>
    </row>
    <row r="8" spans="1:22" ht="14.4">
      <c r="A8" s="18" t="s">
        <v>119</v>
      </c>
      <c r="G8" s="18" t="s">
        <v>117</v>
      </c>
      <c r="M8" s="18" t="s">
        <v>117</v>
      </c>
      <c r="P8" s="18" t="s">
        <v>117</v>
      </c>
      <c r="S8" s="18" t="s">
        <v>117</v>
      </c>
    </row>
    <row r="9" spans="1:22" ht="14.4">
      <c r="A9" s="18" t="s">
        <v>17</v>
      </c>
      <c r="D9" s="18" t="s">
        <v>124</v>
      </c>
      <c r="G9" s="18" t="s">
        <v>125</v>
      </c>
      <c r="J9" s="18" t="s">
        <v>126</v>
      </c>
    </row>
    <row r="10" spans="1:22" ht="14.4">
      <c r="A10" s="18" t="s">
        <v>120</v>
      </c>
      <c r="G10" s="18" t="s">
        <v>112</v>
      </c>
      <c r="M10" s="18" t="s">
        <v>112</v>
      </c>
      <c r="P10" s="18" t="s">
        <v>112</v>
      </c>
      <c r="S10" s="18" t="s">
        <v>112</v>
      </c>
    </row>
    <row r="11" spans="1:22" ht="14.4">
      <c r="A11" s="18" t="s">
        <v>121</v>
      </c>
      <c r="D11" s="18" t="s">
        <v>115</v>
      </c>
      <c r="G11" s="18" t="s">
        <v>114</v>
      </c>
      <c r="M11" s="18" t="s">
        <v>115</v>
      </c>
      <c r="P11" s="18" t="s">
        <v>115</v>
      </c>
      <c r="S11" s="18" t="s">
        <v>115</v>
      </c>
    </row>
    <row r="12" spans="1:22" ht="14.4">
      <c r="A12" s="18" t="s">
        <v>122</v>
      </c>
      <c r="G12" s="18" t="s">
        <v>117</v>
      </c>
      <c r="J12" s="18" t="s">
        <v>117</v>
      </c>
      <c r="M12" s="18" t="s">
        <v>117</v>
      </c>
      <c r="P12" s="18" t="s">
        <v>117</v>
      </c>
      <c r="S12" s="18" t="s">
        <v>117</v>
      </c>
    </row>
    <row r="13" spans="1:22" ht="14.4">
      <c r="A13" s="18" t="s">
        <v>124</v>
      </c>
    </row>
    <row r="14" spans="1:22" ht="14.4">
      <c r="A14" s="18" t="s">
        <v>125</v>
      </c>
    </row>
    <row r="15" spans="1:22" ht="14.4">
      <c r="A15" s="18" t="s">
        <v>126</v>
      </c>
      <c r="C15" s="18">
        <v>1</v>
      </c>
      <c r="D15" s="18" t="s">
        <v>127</v>
      </c>
      <c r="E15" s="18" t="s">
        <v>128</v>
      </c>
    </row>
    <row r="16" spans="1:22" ht="14.4">
      <c r="A16" s="18" t="s">
        <v>110</v>
      </c>
      <c r="C16" s="18">
        <v>2</v>
      </c>
      <c r="D16" s="18" t="s">
        <v>129</v>
      </c>
      <c r="E16" s="18" t="s">
        <v>130</v>
      </c>
      <c r="H16" s="18">
        <f>IF('Datos generales'!F20="Ftalatos",5,IF('Datos generales'!F20="Juguetes_Seguridad",6,4))</f>
        <v>5</v>
      </c>
      <c r="K16" s="18" t="s">
        <v>131</v>
      </c>
      <c r="M16" s="18" t="s">
        <v>132</v>
      </c>
      <c r="N16" s="18" t="s">
        <v>132</v>
      </c>
      <c r="O16" s="18">
        <v>1</v>
      </c>
    </row>
    <row r="17" spans="1:15" ht="14.4">
      <c r="C17" s="18">
        <v>3</v>
      </c>
      <c r="D17" s="18" t="s">
        <v>133</v>
      </c>
      <c r="E17" s="18" t="s">
        <v>134</v>
      </c>
      <c r="H17" s="18">
        <f>IF('Datos generales'!C20="Juguetes",6,4)</f>
        <v>4</v>
      </c>
      <c r="K17" s="18" t="s">
        <v>135</v>
      </c>
      <c r="M17" s="18" t="s">
        <v>136</v>
      </c>
      <c r="N17" s="18" t="s">
        <v>136</v>
      </c>
      <c r="O17" s="18">
        <v>1</v>
      </c>
    </row>
    <row r="18" spans="1:15" ht="14.4">
      <c r="C18" s="18">
        <v>4</v>
      </c>
      <c r="D18" s="18" t="s">
        <v>137</v>
      </c>
      <c r="E18" s="18" t="s">
        <v>138</v>
      </c>
      <c r="K18" s="18" t="s">
        <v>139</v>
      </c>
      <c r="N18" s="18" t="s">
        <v>140</v>
      </c>
      <c r="O18" s="18">
        <v>3</v>
      </c>
    </row>
    <row r="19" spans="1:15" ht="14.4">
      <c r="A19" s="18" t="s">
        <v>132</v>
      </c>
      <c r="C19" s="18">
        <v>5</v>
      </c>
      <c r="D19" s="18" t="s">
        <v>109</v>
      </c>
      <c r="E19" s="18" t="s">
        <v>141</v>
      </c>
      <c r="K19" s="18" t="s">
        <v>142</v>
      </c>
      <c r="O19" s="18">
        <v>1</v>
      </c>
    </row>
    <row r="20" spans="1:15" ht="14.4">
      <c r="A20" s="18" t="s">
        <v>136</v>
      </c>
      <c r="C20" s="18">
        <v>6</v>
      </c>
      <c r="D20" s="18" t="s">
        <v>143</v>
      </c>
      <c r="E20" s="18" t="s">
        <v>144</v>
      </c>
      <c r="K20" s="18" t="s">
        <v>140</v>
      </c>
      <c r="N20" s="18">
        <v>2</v>
      </c>
      <c r="O20" s="18">
        <v>1</v>
      </c>
    </row>
    <row r="21" spans="1:15" ht="15.75" customHeight="1">
      <c r="A21" s="18" t="s">
        <v>140</v>
      </c>
      <c r="C21" s="18">
        <v>7</v>
      </c>
      <c r="D21" s="18" t="s">
        <v>119</v>
      </c>
      <c r="E21" s="18" t="s">
        <v>145</v>
      </c>
      <c r="O21" s="18">
        <v>3</v>
      </c>
    </row>
    <row r="22" spans="1:15" ht="15.75" customHeight="1">
      <c r="A22" s="18">
        <v>3</v>
      </c>
      <c r="B22" s="18">
        <f t="shared" ref="B22:B25" si="0">IF(A22=3,0,A22)</f>
        <v>0</v>
      </c>
      <c r="C22" s="18">
        <v>8</v>
      </c>
      <c r="D22" s="18" t="s">
        <v>17</v>
      </c>
      <c r="E22" s="18" t="s">
        <v>146</v>
      </c>
      <c r="O22" s="18">
        <v>3</v>
      </c>
    </row>
    <row r="23" spans="1:15" ht="15.75" customHeight="1">
      <c r="A23" s="18">
        <v>3</v>
      </c>
      <c r="B23" s="18">
        <f t="shared" si="0"/>
        <v>0</v>
      </c>
      <c r="C23" s="18">
        <v>9</v>
      </c>
      <c r="D23" s="18" t="s">
        <v>120</v>
      </c>
      <c r="E23" s="18" t="s">
        <v>147</v>
      </c>
      <c r="O23" s="18">
        <f>COUNTIF(O16:O22,N20)</f>
        <v>0</v>
      </c>
    </row>
    <row r="24" spans="1:15" ht="15.75" customHeight="1">
      <c r="A24" s="18">
        <v>3</v>
      </c>
      <c r="B24" s="18">
        <f t="shared" si="0"/>
        <v>0</v>
      </c>
      <c r="C24" s="18">
        <v>10</v>
      </c>
      <c r="D24" s="18" t="s">
        <v>121</v>
      </c>
      <c r="E24" s="18" t="s">
        <v>148</v>
      </c>
    </row>
    <row r="25" spans="1:15" ht="15.75" customHeight="1">
      <c r="A25" s="18">
        <v>3</v>
      </c>
      <c r="B25" s="18">
        <f t="shared" si="0"/>
        <v>0</v>
      </c>
      <c r="C25" s="18">
        <v>11</v>
      </c>
      <c r="D25" s="18" t="s">
        <v>149</v>
      </c>
      <c r="E25" s="18" t="s">
        <v>150</v>
      </c>
      <c r="K25" s="18" t="b">
        <v>0</v>
      </c>
    </row>
    <row r="26" spans="1:15" ht="15.75" customHeight="1">
      <c r="A26" s="18">
        <f>SUM(B22:B25)</f>
        <v>0</v>
      </c>
      <c r="B26" s="18">
        <f>SUM(B22:B25)</f>
        <v>0</v>
      </c>
      <c r="C26" s="18">
        <v>12</v>
      </c>
      <c r="D26" s="18" t="s">
        <v>151</v>
      </c>
      <c r="E26" s="18" t="s">
        <v>152</v>
      </c>
      <c r="K26" s="18" t="b">
        <f>NOT(K25)</f>
        <v>1</v>
      </c>
    </row>
    <row r="27" spans="1:15" ht="15.75" customHeight="1">
      <c r="C27" s="18">
        <v>13</v>
      </c>
      <c r="D27" s="18" t="s">
        <v>153</v>
      </c>
      <c r="E27" s="18" t="s">
        <v>154</v>
      </c>
    </row>
    <row r="28" spans="1:15" ht="15.75" customHeight="1">
      <c r="C28" s="18">
        <v>14</v>
      </c>
      <c r="D28" s="18" t="s">
        <v>155</v>
      </c>
      <c r="E28" s="18" t="s">
        <v>156</v>
      </c>
    </row>
    <row r="29" spans="1:15" ht="15.75" customHeight="1">
      <c r="C29" s="18">
        <v>15</v>
      </c>
      <c r="D29" s="18" t="s">
        <v>110</v>
      </c>
      <c r="E29" s="18" t="s">
        <v>157</v>
      </c>
    </row>
    <row r="30" spans="1:15" ht="15.75" customHeight="1">
      <c r="A30" s="18" t="s">
        <v>158</v>
      </c>
      <c r="B30" s="18">
        <f>IF(H16=5,Ftalatos!I7,#REF!)</f>
        <v>0</v>
      </c>
      <c r="E30" s="18">
        <v>1</v>
      </c>
    </row>
    <row r="31" spans="1:15" ht="15.75" customHeight="1">
      <c r="D31" s="70" t="s">
        <v>159</v>
      </c>
      <c r="E31" s="18">
        <v>2</v>
      </c>
      <c r="F31" s="18" t="s">
        <v>160</v>
      </c>
    </row>
    <row r="32" spans="1:15" ht="15.75" customHeight="1">
      <c r="D32" s="70" t="s">
        <v>161</v>
      </c>
      <c r="E32" s="18">
        <v>3</v>
      </c>
      <c r="F32" s="18" t="s">
        <v>162</v>
      </c>
      <c r="H32" s="18" t="s">
        <v>163</v>
      </c>
    </row>
    <row r="33" spans="1:8" ht="15.75" customHeight="1">
      <c r="D33" s="70" t="s">
        <v>164</v>
      </c>
      <c r="E33" s="18">
        <v>4</v>
      </c>
      <c r="F33" s="18" t="s">
        <v>165</v>
      </c>
      <c r="H33" s="18" t="s">
        <v>166</v>
      </c>
    </row>
    <row r="34" spans="1:8" ht="15.75" customHeight="1">
      <c r="A34" s="18">
        <v>2</v>
      </c>
      <c r="D34" s="18">
        <v>1</v>
      </c>
    </row>
    <row r="35" spans="1:8" ht="15.75" customHeight="1"/>
    <row r="36" spans="1:8" ht="15.75" customHeight="1"/>
    <row r="37" spans="1:8" ht="15.75" customHeight="1"/>
    <row r="38" spans="1:8" ht="15.75" customHeight="1"/>
    <row r="39" spans="1:8" ht="15.75" customHeight="1"/>
    <row r="40" spans="1:8" ht="15.75" customHeight="1"/>
    <row r="41" spans="1:8" ht="15.75" customHeight="1"/>
    <row r="42" spans="1:8" ht="15.75" customHeight="1"/>
    <row r="43" spans="1:8" ht="15.75" customHeight="1"/>
    <row r="44" spans="1:8" ht="15.75" customHeight="1"/>
    <row r="45" spans="1:8" ht="15.75" customHeight="1"/>
    <row r="46" spans="1:8" ht="15.75" customHeight="1"/>
    <row r="47" spans="1:8" ht="15.75" customHeight="1"/>
    <row r="48" spans="1: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21</vt:i4>
      </vt:variant>
    </vt:vector>
  </HeadingPairs>
  <TitlesOfParts>
    <vt:vector size="24" baseType="lpstr">
      <vt:lpstr>Datos generales</vt:lpstr>
      <vt:lpstr>Ftalatos</vt:lpstr>
      <vt:lpstr>DATOS</vt:lpstr>
      <vt:lpstr>Artículos_Escolares</vt:lpstr>
      <vt:lpstr>Ascensores</vt:lpstr>
      <vt:lpstr>Bicicletas_adultos</vt:lpstr>
      <vt:lpstr>Bicicletas_infantiles</vt:lpstr>
      <vt:lpstr>Cámaras_y_cubiertas_bicicletas</vt:lpstr>
      <vt:lpstr>Eléctricos_Eficiencia</vt:lpstr>
      <vt:lpstr>Eléctricos_Eiciencia</vt:lpstr>
      <vt:lpstr>Eléctricos_Eiciencia_Energética</vt:lpstr>
      <vt:lpstr>Eléctricos_Seguridad</vt:lpstr>
      <vt:lpstr>Eléctricos_Seguridad_Eléctrica</vt:lpstr>
      <vt:lpstr>Encendedores</vt:lpstr>
      <vt:lpstr>Ftalatos</vt:lpstr>
      <vt:lpstr>Gas</vt:lpstr>
      <vt:lpstr>Gráficos</vt:lpstr>
      <vt:lpstr>Juguetes_Seguridad</vt:lpstr>
      <vt:lpstr>Miel</vt:lpstr>
      <vt:lpstr>Pilas_y_baterías</vt:lpstr>
      <vt:lpstr>RoHS</vt:lpstr>
      <vt:lpstr>Servicios</vt:lpstr>
      <vt:lpstr>Sistemas</vt:lpstr>
      <vt:lpstr>Tambores_miel_a_granel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Leonardo Lukaszewicz</dc:creator>
  <cp:lastModifiedBy>DEAN FEDERICO ARIEL</cp:lastModifiedBy>
  <dcterms:created xsi:type="dcterms:W3CDTF">2018-06-05T12:29:48Z</dcterms:created>
  <dcterms:modified xsi:type="dcterms:W3CDTF">2026-08-22T03:01:19Z</dcterms:modified>
</cp:coreProperties>
</file>